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F0335C0-A466-4FF0-81DA-7CD142D79DD6}" xr6:coauthVersionLast="47" xr6:coauthVersionMax="47" xr10:uidLastSave="{00000000-0000-0000-0000-000000000000}"/>
  <bookViews>
    <workbookView xWindow="-120" yWindow="-120" windowWidth="20730" windowHeight="11040" xr2:uid="{7FE2FC56-A5A3-412C-8115-9F3025BBE1B2}"/>
  </bookViews>
  <sheets>
    <sheet name="Sheet1" sheetId="1" r:id="rId1"/>
  </sheets>
  <definedNames>
    <definedName name="_xlnm._FilterDatabase" localSheetId="0" hidden="1">Sheet1!$A$1:$O$1001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01" i="1" l="1" a="1"/>
  <c r="M1001" i="1" s="1"/>
  <c r="I1001" i="1"/>
  <c r="H1001" i="1"/>
  <c r="G1001" i="1"/>
  <c r="F1001" i="1"/>
  <c r="C1001" i="1" a="1"/>
  <c r="C1001" i="1" s="1"/>
  <c r="M1000" i="1" a="1"/>
  <c r="M1000" i="1" s="1"/>
  <c r="I1000" i="1"/>
  <c r="H1000" i="1"/>
  <c r="G1000" i="1"/>
  <c r="F1000" i="1"/>
  <c r="C1000" i="1" a="1"/>
  <c r="C1000" i="1" s="1"/>
  <c r="M999" i="1" a="1"/>
  <c r="M999" i="1" s="1"/>
  <c r="I999" i="1"/>
  <c r="H999" i="1"/>
  <c r="G999" i="1"/>
  <c r="F999" i="1"/>
  <c r="C999" i="1" a="1"/>
  <c r="C999" i="1" s="1"/>
  <c r="M998" i="1" a="1"/>
  <c r="M998" i="1" s="1"/>
  <c r="I998" i="1"/>
  <c r="H998" i="1"/>
  <c r="G998" i="1"/>
  <c r="F998" i="1"/>
  <c r="C998" i="1" a="1"/>
  <c r="C998" i="1" s="1"/>
  <c r="M997" i="1" a="1"/>
  <c r="M997" i="1" s="1"/>
  <c r="I997" i="1"/>
  <c r="H997" i="1"/>
  <c r="G997" i="1"/>
  <c r="F997" i="1"/>
  <c r="C997" i="1" a="1"/>
  <c r="C997" i="1" s="1"/>
  <c r="M996" i="1" a="1"/>
  <c r="M996" i="1" s="1"/>
  <c r="I996" i="1"/>
  <c r="H996" i="1"/>
  <c r="G996" i="1"/>
  <c r="F996" i="1"/>
  <c r="C996" i="1" a="1"/>
  <c r="C996" i="1" s="1"/>
  <c r="M995" i="1" a="1"/>
  <c r="M995" i="1" s="1"/>
  <c r="I995" i="1"/>
  <c r="H995" i="1"/>
  <c r="G995" i="1"/>
  <c r="F995" i="1"/>
  <c r="C995" i="1" a="1"/>
  <c r="C995" i="1" s="1"/>
  <c r="M994" i="1" a="1"/>
  <c r="M994" i="1" s="1"/>
  <c r="I994" i="1"/>
  <c r="H994" i="1"/>
  <c r="G994" i="1"/>
  <c r="F994" i="1"/>
  <c r="C994" i="1" a="1"/>
  <c r="C994" i="1" s="1"/>
  <c r="M993" i="1" a="1"/>
  <c r="M993" i="1" s="1"/>
  <c r="I993" i="1"/>
  <c r="H993" i="1"/>
  <c r="G993" i="1"/>
  <c r="F993" i="1"/>
  <c r="C993" i="1" a="1"/>
  <c r="C993" i="1" s="1"/>
  <c r="M992" i="1" a="1"/>
  <c r="M992" i="1" s="1"/>
  <c r="I992" i="1"/>
  <c r="H992" i="1"/>
  <c r="G992" i="1"/>
  <c r="F992" i="1"/>
  <c r="C992" i="1" a="1"/>
  <c r="C992" i="1" s="1"/>
  <c r="M991" i="1" a="1"/>
  <c r="M991" i="1" s="1"/>
  <c r="I991" i="1"/>
  <c r="H991" i="1"/>
  <c r="G991" i="1"/>
  <c r="F991" i="1"/>
  <c r="C991" i="1" a="1"/>
  <c r="C991" i="1" s="1"/>
  <c r="M990" i="1" a="1"/>
  <c r="M990" i="1" s="1"/>
  <c r="I990" i="1"/>
  <c r="H990" i="1"/>
  <c r="G990" i="1"/>
  <c r="F990" i="1"/>
  <c r="C990" i="1" a="1"/>
  <c r="C990" i="1" s="1"/>
  <c r="M989" i="1" a="1"/>
  <c r="M989" i="1" s="1"/>
  <c r="I989" i="1"/>
  <c r="H989" i="1"/>
  <c r="G989" i="1"/>
  <c r="F989" i="1"/>
  <c r="C989" i="1" a="1"/>
  <c r="C989" i="1" s="1"/>
  <c r="M988" i="1" a="1"/>
  <c r="M988" i="1" s="1"/>
  <c r="I988" i="1"/>
  <c r="H988" i="1"/>
  <c r="G988" i="1"/>
  <c r="F988" i="1"/>
  <c r="C988" i="1" a="1"/>
  <c r="C988" i="1" s="1"/>
  <c r="M987" i="1" a="1"/>
  <c r="M987" i="1" s="1"/>
  <c r="I987" i="1"/>
  <c r="H987" i="1"/>
  <c r="G987" i="1"/>
  <c r="F987" i="1"/>
  <c r="C987" i="1" a="1"/>
  <c r="C987" i="1" s="1"/>
  <c r="M986" i="1" a="1"/>
  <c r="M986" i="1" s="1"/>
  <c r="I986" i="1"/>
  <c r="H986" i="1"/>
  <c r="G986" i="1"/>
  <c r="F986" i="1"/>
  <c r="C986" i="1" a="1"/>
  <c r="C986" i="1" s="1"/>
  <c r="M985" i="1" a="1"/>
  <c r="M985" i="1" s="1"/>
  <c r="I985" i="1"/>
  <c r="H985" i="1"/>
  <c r="G985" i="1"/>
  <c r="F985" i="1"/>
  <c r="C985" i="1" a="1"/>
  <c r="C985" i="1" s="1"/>
  <c r="M984" i="1" a="1"/>
  <c r="M984" i="1" s="1"/>
  <c r="I984" i="1"/>
  <c r="H984" i="1"/>
  <c r="G984" i="1"/>
  <c r="F984" i="1"/>
  <c r="C984" i="1" a="1"/>
  <c r="C984" i="1" s="1"/>
  <c r="M983" i="1" a="1"/>
  <c r="M983" i="1" s="1"/>
  <c r="I983" i="1"/>
  <c r="H983" i="1"/>
  <c r="G983" i="1"/>
  <c r="F983" i="1"/>
  <c r="C983" i="1" a="1"/>
  <c r="C983" i="1" s="1"/>
  <c r="M982" i="1" a="1"/>
  <c r="M982" i="1" s="1"/>
  <c r="I982" i="1"/>
  <c r="H982" i="1"/>
  <c r="G982" i="1"/>
  <c r="F982" i="1"/>
  <c r="C982" i="1" a="1"/>
  <c r="C982" i="1" s="1"/>
  <c r="M981" i="1" a="1"/>
  <c r="M981" i="1" s="1"/>
  <c r="I981" i="1"/>
  <c r="H981" i="1"/>
  <c r="G981" i="1"/>
  <c r="F981" i="1"/>
  <c r="C981" i="1" a="1"/>
  <c r="C981" i="1" s="1"/>
  <c r="M980" i="1" a="1"/>
  <c r="M980" i="1" s="1"/>
  <c r="I980" i="1"/>
  <c r="H980" i="1"/>
  <c r="G980" i="1"/>
  <c r="F980" i="1"/>
  <c r="C980" i="1" a="1"/>
  <c r="C980" i="1" s="1"/>
  <c r="M979" i="1" a="1"/>
  <c r="M979" i="1" s="1"/>
  <c r="I979" i="1"/>
  <c r="H979" i="1"/>
  <c r="G979" i="1"/>
  <c r="F979" i="1"/>
  <c r="C979" i="1" a="1"/>
  <c r="C979" i="1" s="1"/>
  <c r="M978" i="1" a="1"/>
  <c r="M978" i="1" s="1"/>
  <c r="I978" i="1"/>
  <c r="H978" i="1"/>
  <c r="G978" i="1"/>
  <c r="F978" i="1"/>
  <c r="C978" i="1" a="1"/>
  <c r="C978" i="1" s="1"/>
  <c r="M977" i="1" a="1"/>
  <c r="M977" i="1" s="1"/>
  <c r="I977" i="1"/>
  <c r="H977" i="1"/>
  <c r="G977" i="1"/>
  <c r="F977" i="1"/>
  <c r="C977" i="1" a="1"/>
  <c r="C977" i="1" s="1"/>
  <c r="M976" i="1" a="1"/>
  <c r="M976" i="1" s="1"/>
  <c r="I976" i="1"/>
  <c r="H976" i="1"/>
  <c r="G976" i="1"/>
  <c r="F976" i="1"/>
  <c r="C976" i="1" a="1"/>
  <c r="C976" i="1" s="1"/>
  <c r="M975" i="1" a="1"/>
  <c r="M975" i="1" s="1"/>
  <c r="I975" i="1"/>
  <c r="H975" i="1"/>
  <c r="G975" i="1"/>
  <c r="F975" i="1"/>
  <c r="C975" i="1" a="1"/>
  <c r="C975" i="1" s="1"/>
  <c r="M974" i="1" a="1"/>
  <c r="M974" i="1" s="1"/>
  <c r="I974" i="1"/>
  <c r="H974" i="1"/>
  <c r="G974" i="1"/>
  <c r="F974" i="1"/>
  <c r="C974" i="1" a="1"/>
  <c r="C974" i="1" s="1"/>
  <c r="M973" i="1" a="1"/>
  <c r="M973" i="1" s="1"/>
  <c r="I973" i="1"/>
  <c r="H973" i="1"/>
  <c r="G973" i="1"/>
  <c r="F973" i="1"/>
  <c r="C973" i="1" a="1"/>
  <c r="C973" i="1" s="1"/>
  <c r="M972" i="1" a="1"/>
  <c r="M972" i="1" s="1"/>
  <c r="I972" i="1"/>
  <c r="H972" i="1"/>
  <c r="G972" i="1"/>
  <c r="F972" i="1"/>
  <c r="C972" i="1" a="1"/>
  <c r="C972" i="1" s="1"/>
  <c r="M971" i="1" a="1"/>
  <c r="M971" i="1" s="1"/>
  <c r="I971" i="1"/>
  <c r="H971" i="1"/>
  <c r="G971" i="1"/>
  <c r="F971" i="1"/>
  <c r="C971" i="1" a="1"/>
  <c r="C971" i="1" s="1"/>
  <c r="M970" i="1" a="1"/>
  <c r="M970" i="1" s="1"/>
  <c r="I970" i="1"/>
  <c r="H970" i="1"/>
  <c r="G970" i="1"/>
  <c r="F970" i="1"/>
  <c r="C970" i="1" a="1"/>
  <c r="C970" i="1" s="1"/>
  <c r="M969" i="1" a="1"/>
  <c r="M969" i="1" s="1"/>
  <c r="I969" i="1"/>
  <c r="H969" i="1"/>
  <c r="G969" i="1"/>
  <c r="F969" i="1"/>
  <c r="C969" i="1" a="1"/>
  <c r="C969" i="1" s="1"/>
  <c r="M968" i="1" a="1"/>
  <c r="M968" i="1" s="1"/>
  <c r="I968" i="1"/>
  <c r="H968" i="1"/>
  <c r="G968" i="1"/>
  <c r="F968" i="1"/>
  <c r="C968" i="1" a="1"/>
  <c r="C968" i="1" s="1"/>
  <c r="M967" i="1" a="1"/>
  <c r="M967" i="1" s="1"/>
  <c r="I967" i="1"/>
  <c r="H967" i="1"/>
  <c r="G967" i="1"/>
  <c r="F967" i="1"/>
  <c r="C967" i="1" a="1"/>
  <c r="C967" i="1" s="1"/>
  <c r="M966" i="1" a="1"/>
  <c r="M966" i="1" s="1"/>
  <c r="I966" i="1"/>
  <c r="H966" i="1"/>
  <c r="G966" i="1"/>
  <c r="F966" i="1"/>
  <c r="C966" i="1" a="1"/>
  <c r="C966" i="1" s="1"/>
  <c r="M965" i="1" a="1"/>
  <c r="M965" i="1" s="1"/>
  <c r="I965" i="1"/>
  <c r="H965" i="1"/>
  <c r="G965" i="1"/>
  <c r="F965" i="1"/>
  <c r="C965" i="1" a="1"/>
  <c r="C965" i="1" s="1"/>
  <c r="M964" i="1" a="1"/>
  <c r="M964" i="1" s="1"/>
  <c r="I964" i="1"/>
  <c r="H964" i="1"/>
  <c r="G964" i="1"/>
  <c r="F964" i="1"/>
  <c r="C964" i="1" a="1"/>
  <c r="C964" i="1" s="1"/>
  <c r="M963" i="1" a="1"/>
  <c r="M963" i="1" s="1"/>
  <c r="I963" i="1"/>
  <c r="H963" i="1"/>
  <c r="G963" i="1"/>
  <c r="F963" i="1"/>
  <c r="C963" i="1" a="1"/>
  <c r="C963" i="1" s="1"/>
  <c r="M962" i="1" a="1"/>
  <c r="M962" i="1" s="1"/>
  <c r="I962" i="1"/>
  <c r="H962" i="1"/>
  <c r="G962" i="1"/>
  <c r="F962" i="1"/>
  <c r="C962" i="1" a="1"/>
  <c r="C962" i="1" s="1"/>
  <c r="M961" i="1" a="1"/>
  <c r="M961" i="1" s="1"/>
  <c r="I961" i="1"/>
  <c r="H961" i="1"/>
  <c r="G961" i="1"/>
  <c r="F961" i="1"/>
  <c r="C961" i="1" a="1"/>
  <c r="C961" i="1" s="1"/>
  <c r="M960" i="1" a="1"/>
  <c r="M960" i="1" s="1"/>
  <c r="I960" i="1"/>
  <c r="H960" i="1"/>
  <c r="G960" i="1"/>
  <c r="F960" i="1"/>
  <c r="C960" i="1" a="1"/>
  <c r="C960" i="1" s="1"/>
  <c r="M959" i="1" a="1"/>
  <c r="M959" i="1" s="1"/>
  <c r="I959" i="1"/>
  <c r="H959" i="1"/>
  <c r="G959" i="1"/>
  <c r="F959" i="1"/>
  <c r="C959" i="1" a="1"/>
  <c r="C959" i="1" s="1"/>
  <c r="M958" i="1" a="1"/>
  <c r="M958" i="1" s="1"/>
  <c r="I958" i="1"/>
  <c r="H958" i="1"/>
  <c r="G958" i="1"/>
  <c r="F958" i="1"/>
  <c r="C958" i="1" a="1"/>
  <c r="C958" i="1" s="1"/>
  <c r="M957" i="1" a="1"/>
  <c r="M957" i="1" s="1"/>
  <c r="I957" i="1"/>
  <c r="H957" i="1"/>
  <c r="G957" i="1"/>
  <c r="F957" i="1"/>
  <c r="C957" i="1" a="1"/>
  <c r="C957" i="1" s="1"/>
  <c r="M956" i="1" a="1"/>
  <c r="M956" i="1" s="1"/>
  <c r="I956" i="1"/>
  <c r="H956" i="1"/>
  <c r="G956" i="1"/>
  <c r="F956" i="1"/>
  <c r="C956" i="1" a="1"/>
  <c r="C956" i="1" s="1"/>
  <c r="M955" i="1" a="1"/>
  <c r="M955" i="1" s="1"/>
  <c r="I955" i="1"/>
  <c r="H955" i="1"/>
  <c r="G955" i="1"/>
  <c r="F955" i="1"/>
  <c r="C955" i="1" a="1"/>
  <c r="C955" i="1" s="1"/>
  <c r="M954" i="1" a="1"/>
  <c r="M954" i="1" s="1"/>
  <c r="I954" i="1"/>
  <c r="H954" i="1"/>
  <c r="G954" i="1"/>
  <c r="F954" i="1"/>
  <c r="C954" i="1" a="1"/>
  <c r="C954" i="1" s="1"/>
  <c r="M953" i="1" a="1"/>
  <c r="M953" i="1" s="1"/>
  <c r="I953" i="1"/>
  <c r="H953" i="1"/>
  <c r="G953" i="1"/>
  <c r="F953" i="1"/>
  <c r="C953" i="1" a="1"/>
  <c r="C953" i="1" s="1"/>
  <c r="M952" i="1" a="1"/>
  <c r="M952" i="1" s="1"/>
  <c r="I952" i="1"/>
  <c r="H952" i="1"/>
  <c r="G952" i="1"/>
  <c r="F952" i="1"/>
  <c r="C952" i="1" a="1"/>
  <c r="C952" i="1" s="1"/>
  <c r="M951" i="1" a="1"/>
  <c r="M951" i="1" s="1"/>
  <c r="I951" i="1"/>
  <c r="H951" i="1"/>
  <c r="G951" i="1"/>
  <c r="F951" i="1"/>
  <c r="C951" i="1" a="1"/>
  <c r="C951" i="1" s="1"/>
  <c r="M950" i="1" a="1"/>
  <c r="M950" i="1" s="1"/>
  <c r="I950" i="1"/>
  <c r="H950" i="1"/>
  <c r="G950" i="1"/>
  <c r="F950" i="1"/>
  <c r="C950" i="1" a="1"/>
  <c r="C950" i="1" s="1"/>
  <c r="M949" i="1" a="1"/>
  <c r="M949" i="1" s="1"/>
  <c r="I949" i="1"/>
  <c r="H949" i="1"/>
  <c r="G949" i="1"/>
  <c r="F949" i="1"/>
  <c r="C949" i="1" a="1"/>
  <c r="C949" i="1" s="1"/>
  <c r="M948" i="1" a="1"/>
  <c r="M948" i="1" s="1"/>
  <c r="I948" i="1"/>
  <c r="H948" i="1"/>
  <c r="G948" i="1"/>
  <c r="F948" i="1"/>
  <c r="C948" i="1" a="1"/>
  <c r="C948" i="1" s="1"/>
  <c r="M947" i="1" a="1"/>
  <c r="M947" i="1" s="1"/>
  <c r="I947" i="1"/>
  <c r="H947" i="1"/>
  <c r="G947" i="1"/>
  <c r="F947" i="1"/>
  <c r="C947" i="1" a="1"/>
  <c r="C947" i="1" s="1"/>
  <c r="M946" i="1" a="1"/>
  <c r="M946" i="1" s="1"/>
  <c r="I946" i="1"/>
  <c r="H946" i="1"/>
  <c r="G946" i="1"/>
  <c r="F946" i="1"/>
  <c r="C946" i="1" a="1"/>
  <c r="C946" i="1" s="1"/>
  <c r="M945" i="1" a="1"/>
  <c r="M945" i="1" s="1"/>
  <c r="I945" i="1"/>
  <c r="H945" i="1"/>
  <c r="G945" i="1"/>
  <c r="F945" i="1"/>
  <c r="C945" i="1" a="1"/>
  <c r="C945" i="1" s="1"/>
  <c r="M944" i="1" a="1"/>
  <c r="M944" i="1" s="1"/>
  <c r="I944" i="1"/>
  <c r="H944" i="1"/>
  <c r="G944" i="1"/>
  <c r="F944" i="1"/>
  <c r="C944" i="1" a="1"/>
  <c r="C944" i="1" s="1"/>
  <c r="M943" i="1" a="1"/>
  <c r="M943" i="1" s="1"/>
  <c r="I943" i="1"/>
  <c r="H943" i="1"/>
  <c r="G943" i="1"/>
  <c r="F943" i="1"/>
  <c r="C943" i="1" a="1"/>
  <c r="C943" i="1" s="1"/>
  <c r="M942" i="1" a="1"/>
  <c r="M942" i="1" s="1"/>
  <c r="I942" i="1"/>
  <c r="H942" i="1"/>
  <c r="G942" i="1"/>
  <c r="F942" i="1"/>
  <c r="C942" i="1" a="1"/>
  <c r="C942" i="1" s="1"/>
  <c r="M941" i="1" a="1"/>
  <c r="M941" i="1" s="1"/>
  <c r="I941" i="1"/>
  <c r="H941" i="1"/>
  <c r="G941" i="1"/>
  <c r="F941" i="1"/>
  <c r="C941" i="1" a="1"/>
  <c r="C941" i="1" s="1"/>
  <c r="M940" i="1" a="1"/>
  <c r="M940" i="1" s="1"/>
  <c r="I940" i="1"/>
  <c r="H940" i="1"/>
  <c r="G940" i="1"/>
  <c r="F940" i="1"/>
  <c r="C940" i="1" a="1"/>
  <c r="C940" i="1" s="1"/>
  <c r="M939" i="1" a="1"/>
  <c r="M939" i="1" s="1"/>
  <c r="I939" i="1"/>
  <c r="H939" i="1"/>
  <c r="G939" i="1"/>
  <c r="F939" i="1"/>
  <c r="C939" i="1" a="1"/>
  <c r="C939" i="1" s="1"/>
  <c r="M938" i="1" a="1"/>
  <c r="M938" i="1" s="1"/>
  <c r="I938" i="1"/>
  <c r="H938" i="1"/>
  <c r="G938" i="1"/>
  <c r="F938" i="1"/>
  <c r="C938" i="1" a="1"/>
  <c r="C938" i="1" s="1"/>
  <c r="M937" i="1" a="1"/>
  <c r="M937" i="1" s="1"/>
  <c r="I937" i="1"/>
  <c r="H937" i="1"/>
  <c r="G937" i="1"/>
  <c r="F937" i="1"/>
  <c r="C937" i="1" a="1"/>
  <c r="C937" i="1" s="1"/>
  <c r="M936" i="1" a="1"/>
  <c r="M936" i="1" s="1"/>
  <c r="I936" i="1"/>
  <c r="H936" i="1"/>
  <c r="G936" i="1"/>
  <c r="F936" i="1"/>
  <c r="C936" i="1" a="1"/>
  <c r="C936" i="1" s="1"/>
  <c r="M935" i="1" a="1"/>
  <c r="M935" i="1" s="1"/>
  <c r="I935" i="1"/>
  <c r="H935" i="1"/>
  <c r="G935" i="1"/>
  <c r="F935" i="1"/>
  <c r="C935" i="1" a="1"/>
  <c r="C935" i="1" s="1"/>
  <c r="M934" i="1" a="1"/>
  <c r="M934" i="1" s="1"/>
  <c r="I934" i="1"/>
  <c r="H934" i="1"/>
  <c r="G934" i="1"/>
  <c r="F934" i="1"/>
  <c r="C934" i="1" a="1"/>
  <c r="C934" i="1" s="1"/>
  <c r="M933" i="1" a="1"/>
  <c r="M933" i="1" s="1"/>
  <c r="I933" i="1"/>
  <c r="H933" i="1"/>
  <c r="G933" i="1"/>
  <c r="F933" i="1"/>
  <c r="C933" i="1" a="1"/>
  <c r="C933" i="1" s="1"/>
  <c r="M932" i="1" a="1"/>
  <c r="M932" i="1" s="1"/>
  <c r="I932" i="1"/>
  <c r="H932" i="1"/>
  <c r="G932" i="1"/>
  <c r="F932" i="1"/>
  <c r="C932" i="1" a="1"/>
  <c r="C932" i="1" s="1"/>
  <c r="M931" i="1" a="1"/>
  <c r="M931" i="1" s="1"/>
  <c r="I931" i="1"/>
  <c r="H931" i="1"/>
  <c r="G931" i="1"/>
  <c r="F931" i="1"/>
  <c r="C931" i="1" a="1"/>
  <c r="C931" i="1" s="1"/>
  <c r="M930" i="1" a="1"/>
  <c r="M930" i="1" s="1"/>
  <c r="I930" i="1"/>
  <c r="H930" i="1"/>
  <c r="G930" i="1"/>
  <c r="F930" i="1"/>
  <c r="C930" i="1" a="1"/>
  <c r="C930" i="1" s="1"/>
  <c r="M929" i="1" a="1"/>
  <c r="M929" i="1" s="1"/>
  <c r="I929" i="1"/>
  <c r="H929" i="1"/>
  <c r="G929" i="1"/>
  <c r="F929" i="1"/>
  <c r="C929" i="1" a="1"/>
  <c r="C929" i="1" s="1"/>
  <c r="M928" i="1" a="1"/>
  <c r="M928" i="1" s="1"/>
  <c r="I928" i="1"/>
  <c r="H928" i="1"/>
  <c r="G928" i="1"/>
  <c r="F928" i="1"/>
  <c r="C928" i="1" a="1"/>
  <c r="C928" i="1" s="1"/>
  <c r="M927" i="1" a="1"/>
  <c r="M927" i="1" s="1"/>
  <c r="I927" i="1"/>
  <c r="H927" i="1"/>
  <c r="G927" i="1"/>
  <c r="F927" i="1"/>
  <c r="C927" i="1" a="1"/>
  <c r="C927" i="1" s="1"/>
  <c r="M926" i="1" a="1"/>
  <c r="M926" i="1" s="1"/>
  <c r="I926" i="1"/>
  <c r="H926" i="1"/>
  <c r="G926" i="1"/>
  <c r="F926" i="1"/>
  <c r="C926" i="1" a="1"/>
  <c r="C926" i="1" s="1"/>
  <c r="M925" i="1" a="1"/>
  <c r="M925" i="1" s="1"/>
  <c r="I925" i="1"/>
  <c r="H925" i="1"/>
  <c r="G925" i="1"/>
  <c r="F925" i="1"/>
  <c r="C925" i="1" a="1"/>
  <c r="C925" i="1" s="1"/>
  <c r="M924" i="1" a="1"/>
  <c r="M924" i="1" s="1"/>
  <c r="I924" i="1"/>
  <c r="H924" i="1"/>
  <c r="G924" i="1"/>
  <c r="F924" i="1"/>
  <c r="C924" i="1" a="1"/>
  <c r="C924" i="1" s="1"/>
  <c r="M923" i="1" a="1"/>
  <c r="M923" i="1" s="1"/>
  <c r="I923" i="1"/>
  <c r="H923" i="1"/>
  <c r="G923" i="1"/>
  <c r="F923" i="1"/>
  <c r="C923" i="1" a="1"/>
  <c r="C923" i="1" s="1"/>
  <c r="M922" i="1" a="1"/>
  <c r="M922" i="1" s="1"/>
  <c r="I922" i="1"/>
  <c r="H922" i="1"/>
  <c r="G922" i="1"/>
  <c r="F922" i="1"/>
  <c r="C922" i="1" a="1"/>
  <c r="C922" i="1" s="1"/>
  <c r="M921" i="1" a="1"/>
  <c r="M921" i="1" s="1"/>
  <c r="I921" i="1"/>
  <c r="H921" i="1"/>
  <c r="G921" i="1"/>
  <c r="F921" i="1"/>
  <c r="C921" i="1" a="1"/>
  <c r="C921" i="1" s="1"/>
  <c r="M920" i="1" a="1"/>
  <c r="M920" i="1" s="1"/>
  <c r="I920" i="1"/>
  <c r="H920" i="1"/>
  <c r="G920" i="1"/>
  <c r="F920" i="1"/>
  <c r="C920" i="1" a="1"/>
  <c r="C920" i="1" s="1"/>
  <c r="M919" i="1" a="1"/>
  <c r="M919" i="1" s="1"/>
  <c r="I919" i="1"/>
  <c r="H919" i="1"/>
  <c r="G919" i="1"/>
  <c r="F919" i="1"/>
  <c r="C919" i="1" a="1"/>
  <c r="C919" i="1" s="1"/>
  <c r="M918" i="1" a="1"/>
  <c r="M918" i="1" s="1"/>
  <c r="I918" i="1"/>
  <c r="H918" i="1"/>
  <c r="G918" i="1"/>
  <c r="F918" i="1"/>
  <c r="C918" i="1" a="1"/>
  <c r="C918" i="1" s="1"/>
  <c r="M917" i="1" a="1"/>
  <c r="M917" i="1" s="1"/>
  <c r="I917" i="1"/>
  <c r="H917" i="1"/>
  <c r="G917" i="1"/>
  <c r="F917" i="1"/>
  <c r="C917" i="1" a="1"/>
  <c r="C917" i="1" s="1"/>
  <c r="M916" i="1"/>
  <c r="M916" i="1" a="1"/>
  <c r="I916" i="1"/>
  <c r="H916" i="1"/>
  <c r="G916" i="1"/>
  <c r="F916" i="1"/>
  <c r="C916" i="1" a="1"/>
  <c r="C916" i="1" s="1"/>
  <c r="M915" i="1"/>
  <c r="M915" i="1" a="1"/>
  <c r="I915" i="1"/>
  <c r="H915" i="1"/>
  <c r="G915" i="1"/>
  <c r="F915" i="1"/>
  <c r="C915" i="1" a="1"/>
  <c r="C915" i="1" s="1"/>
  <c r="M914" i="1" a="1"/>
  <c r="M914" i="1" s="1"/>
  <c r="I914" i="1"/>
  <c r="H914" i="1"/>
  <c r="G914" i="1"/>
  <c r="F914" i="1"/>
  <c r="C914" i="1" a="1"/>
  <c r="C914" i="1" s="1"/>
  <c r="M913" i="1" a="1"/>
  <c r="M913" i="1" s="1"/>
  <c r="I913" i="1"/>
  <c r="H913" i="1"/>
  <c r="G913" i="1"/>
  <c r="F913" i="1"/>
  <c r="C913" i="1" a="1"/>
  <c r="C913" i="1" s="1"/>
  <c r="M912" i="1" a="1"/>
  <c r="M912" i="1" s="1"/>
  <c r="I912" i="1"/>
  <c r="H912" i="1"/>
  <c r="G912" i="1"/>
  <c r="F912" i="1"/>
  <c r="C912" i="1" a="1"/>
  <c r="C912" i="1" s="1"/>
  <c r="M911" i="1" a="1"/>
  <c r="M911" i="1" s="1"/>
  <c r="I911" i="1"/>
  <c r="H911" i="1"/>
  <c r="G911" i="1"/>
  <c r="F911" i="1"/>
  <c r="C911" i="1" a="1"/>
  <c r="C911" i="1" s="1"/>
  <c r="M910" i="1" a="1"/>
  <c r="M910" i="1" s="1"/>
  <c r="I910" i="1"/>
  <c r="H910" i="1"/>
  <c r="G910" i="1"/>
  <c r="F910" i="1"/>
  <c r="C910" i="1" a="1"/>
  <c r="C910" i="1" s="1"/>
  <c r="M909" i="1" a="1"/>
  <c r="M909" i="1" s="1"/>
  <c r="I909" i="1"/>
  <c r="H909" i="1"/>
  <c r="G909" i="1"/>
  <c r="F909" i="1"/>
  <c r="C909" i="1" a="1"/>
  <c r="C909" i="1" s="1"/>
  <c r="M908" i="1" a="1"/>
  <c r="M908" i="1" s="1"/>
  <c r="I908" i="1"/>
  <c r="H908" i="1"/>
  <c r="G908" i="1"/>
  <c r="F908" i="1"/>
  <c r="C908" i="1" a="1"/>
  <c r="C908" i="1" s="1"/>
  <c r="M907" i="1" a="1"/>
  <c r="M907" i="1" s="1"/>
  <c r="I907" i="1"/>
  <c r="H907" i="1"/>
  <c r="G907" i="1"/>
  <c r="F907" i="1"/>
  <c r="C907" i="1" a="1"/>
  <c r="C907" i="1" s="1"/>
  <c r="M906" i="1" a="1"/>
  <c r="M906" i="1" s="1"/>
  <c r="I906" i="1"/>
  <c r="H906" i="1"/>
  <c r="G906" i="1"/>
  <c r="F906" i="1"/>
  <c r="C906" i="1" a="1"/>
  <c r="C906" i="1" s="1"/>
  <c r="M905" i="1" a="1"/>
  <c r="M905" i="1" s="1"/>
  <c r="I905" i="1"/>
  <c r="H905" i="1"/>
  <c r="G905" i="1"/>
  <c r="F905" i="1"/>
  <c r="C905" i="1" a="1"/>
  <c r="C905" i="1" s="1"/>
  <c r="M904" i="1" a="1"/>
  <c r="M904" i="1" s="1"/>
  <c r="I904" i="1"/>
  <c r="H904" i="1"/>
  <c r="G904" i="1"/>
  <c r="F904" i="1"/>
  <c r="C904" i="1" a="1"/>
  <c r="C904" i="1" s="1"/>
  <c r="M903" i="1" a="1"/>
  <c r="M903" i="1" s="1"/>
  <c r="I903" i="1"/>
  <c r="H903" i="1"/>
  <c r="G903" i="1"/>
  <c r="F903" i="1"/>
  <c r="C903" i="1" a="1"/>
  <c r="C903" i="1" s="1"/>
  <c r="M902" i="1" a="1"/>
  <c r="M902" i="1" s="1"/>
  <c r="I902" i="1"/>
  <c r="H902" i="1"/>
  <c r="G902" i="1"/>
  <c r="F902" i="1"/>
  <c r="C902" i="1" a="1"/>
  <c r="C902" i="1" s="1"/>
  <c r="M901" i="1" a="1"/>
  <c r="M901" i="1" s="1"/>
  <c r="I901" i="1"/>
  <c r="H901" i="1"/>
  <c r="G901" i="1"/>
  <c r="F901" i="1"/>
  <c r="C901" i="1" a="1"/>
  <c r="C901" i="1" s="1"/>
  <c r="M900" i="1" a="1"/>
  <c r="M900" i="1" s="1"/>
  <c r="I900" i="1"/>
  <c r="H900" i="1"/>
  <c r="G900" i="1"/>
  <c r="F900" i="1"/>
  <c r="C900" i="1" a="1"/>
  <c r="C900" i="1" s="1"/>
  <c r="M899" i="1" a="1"/>
  <c r="M899" i="1" s="1"/>
  <c r="I899" i="1"/>
  <c r="H899" i="1"/>
  <c r="G899" i="1"/>
  <c r="F899" i="1"/>
  <c r="C899" i="1" a="1"/>
  <c r="C899" i="1" s="1"/>
  <c r="M898" i="1" a="1"/>
  <c r="M898" i="1" s="1"/>
  <c r="I898" i="1"/>
  <c r="H898" i="1"/>
  <c r="G898" i="1"/>
  <c r="F898" i="1"/>
  <c r="C898" i="1" a="1"/>
  <c r="C898" i="1" s="1"/>
  <c r="M897" i="1" a="1"/>
  <c r="M897" i="1" s="1"/>
  <c r="I897" i="1"/>
  <c r="H897" i="1"/>
  <c r="G897" i="1"/>
  <c r="F897" i="1"/>
  <c r="C897" i="1" a="1"/>
  <c r="C897" i="1" s="1"/>
  <c r="M896" i="1" a="1"/>
  <c r="M896" i="1" s="1"/>
  <c r="I896" i="1"/>
  <c r="H896" i="1"/>
  <c r="G896" i="1"/>
  <c r="F896" i="1"/>
  <c r="C896" i="1" a="1"/>
  <c r="C896" i="1" s="1"/>
  <c r="M895" i="1" a="1"/>
  <c r="M895" i="1" s="1"/>
  <c r="I895" i="1"/>
  <c r="H895" i="1"/>
  <c r="G895" i="1"/>
  <c r="F895" i="1"/>
  <c r="C895" i="1" a="1"/>
  <c r="C895" i="1" s="1"/>
  <c r="M894" i="1" a="1"/>
  <c r="M894" i="1" s="1"/>
  <c r="I894" i="1"/>
  <c r="H894" i="1"/>
  <c r="G894" i="1"/>
  <c r="F894" i="1"/>
  <c r="C894" i="1" a="1"/>
  <c r="C894" i="1" s="1"/>
  <c r="M893" i="1" a="1"/>
  <c r="M893" i="1" s="1"/>
  <c r="I893" i="1"/>
  <c r="H893" i="1"/>
  <c r="G893" i="1"/>
  <c r="F893" i="1"/>
  <c r="C893" i="1" a="1"/>
  <c r="C893" i="1" s="1"/>
  <c r="M892" i="1" a="1"/>
  <c r="M892" i="1" s="1"/>
  <c r="I892" i="1"/>
  <c r="H892" i="1"/>
  <c r="G892" i="1"/>
  <c r="F892" i="1"/>
  <c r="C892" i="1" a="1"/>
  <c r="C892" i="1" s="1"/>
  <c r="M891" i="1" a="1"/>
  <c r="M891" i="1" s="1"/>
  <c r="I891" i="1"/>
  <c r="H891" i="1"/>
  <c r="G891" i="1"/>
  <c r="F891" i="1"/>
  <c r="C891" i="1" a="1"/>
  <c r="C891" i="1" s="1"/>
  <c r="M890" i="1" a="1"/>
  <c r="M890" i="1" s="1"/>
  <c r="I890" i="1"/>
  <c r="H890" i="1"/>
  <c r="G890" i="1"/>
  <c r="F890" i="1"/>
  <c r="C890" i="1" a="1"/>
  <c r="C890" i="1" s="1"/>
  <c r="M889" i="1" a="1"/>
  <c r="M889" i="1" s="1"/>
  <c r="I889" i="1"/>
  <c r="H889" i="1"/>
  <c r="G889" i="1"/>
  <c r="F889" i="1"/>
  <c r="C889" i="1" a="1"/>
  <c r="C889" i="1" s="1"/>
  <c r="M888" i="1" a="1"/>
  <c r="M888" i="1" s="1"/>
  <c r="I888" i="1"/>
  <c r="H888" i="1"/>
  <c r="G888" i="1"/>
  <c r="F888" i="1"/>
  <c r="C888" i="1" a="1"/>
  <c r="C888" i="1" s="1"/>
  <c r="M887" i="1" a="1"/>
  <c r="M887" i="1" s="1"/>
  <c r="I887" i="1"/>
  <c r="H887" i="1"/>
  <c r="G887" i="1"/>
  <c r="F887" i="1"/>
  <c r="C887" i="1" a="1"/>
  <c r="C887" i="1" s="1"/>
  <c r="M886" i="1" a="1"/>
  <c r="M886" i="1" s="1"/>
  <c r="I886" i="1"/>
  <c r="H886" i="1"/>
  <c r="G886" i="1"/>
  <c r="F886" i="1"/>
  <c r="C886" i="1" a="1"/>
  <c r="C886" i="1" s="1"/>
  <c r="M885" i="1" a="1"/>
  <c r="M885" i="1" s="1"/>
  <c r="I885" i="1"/>
  <c r="H885" i="1"/>
  <c r="G885" i="1"/>
  <c r="F885" i="1"/>
  <c r="C885" i="1" a="1"/>
  <c r="C885" i="1" s="1"/>
  <c r="M884" i="1" a="1"/>
  <c r="M884" i="1" s="1"/>
  <c r="I884" i="1"/>
  <c r="H884" i="1"/>
  <c r="G884" i="1"/>
  <c r="F884" i="1"/>
  <c r="C884" i="1" a="1"/>
  <c r="C884" i="1" s="1"/>
  <c r="M883" i="1" a="1"/>
  <c r="M883" i="1" s="1"/>
  <c r="I883" i="1"/>
  <c r="H883" i="1"/>
  <c r="G883" i="1"/>
  <c r="F883" i="1"/>
  <c r="C883" i="1" a="1"/>
  <c r="C883" i="1" s="1"/>
  <c r="M882" i="1" a="1"/>
  <c r="M882" i="1" s="1"/>
  <c r="I882" i="1"/>
  <c r="H882" i="1"/>
  <c r="G882" i="1"/>
  <c r="F882" i="1"/>
  <c r="C882" i="1" a="1"/>
  <c r="C882" i="1" s="1"/>
  <c r="M881" i="1" a="1"/>
  <c r="M881" i="1" s="1"/>
  <c r="I881" i="1"/>
  <c r="H881" i="1"/>
  <c r="G881" i="1"/>
  <c r="F881" i="1"/>
  <c r="C881" i="1" a="1"/>
  <c r="C881" i="1" s="1"/>
  <c r="M880" i="1" a="1"/>
  <c r="M880" i="1" s="1"/>
  <c r="I880" i="1"/>
  <c r="H880" i="1"/>
  <c r="G880" i="1"/>
  <c r="F880" i="1"/>
  <c r="C880" i="1" a="1"/>
  <c r="C880" i="1" s="1"/>
  <c r="M879" i="1" a="1"/>
  <c r="M879" i="1" s="1"/>
  <c r="I879" i="1"/>
  <c r="H879" i="1"/>
  <c r="G879" i="1"/>
  <c r="F879" i="1"/>
  <c r="C879" i="1" a="1"/>
  <c r="C879" i="1" s="1"/>
  <c r="M878" i="1" a="1"/>
  <c r="M878" i="1" s="1"/>
  <c r="I878" i="1"/>
  <c r="H878" i="1"/>
  <c r="G878" i="1"/>
  <c r="F878" i="1"/>
  <c r="C878" i="1" a="1"/>
  <c r="C878" i="1" s="1"/>
  <c r="M877" i="1" a="1"/>
  <c r="M877" i="1" s="1"/>
  <c r="I877" i="1"/>
  <c r="H877" i="1"/>
  <c r="G877" i="1"/>
  <c r="F877" i="1"/>
  <c r="C877" i="1" a="1"/>
  <c r="C877" i="1" s="1"/>
  <c r="M876" i="1" a="1"/>
  <c r="M876" i="1" s="1"/>
  <c r="I876" i="1"/>
  <c r="H876" i="1"/>
  <c r="G876" i="1"/>
  <c r="F876" i="1"/>
  <c r="C876" i="1" a="1"/>
  <c r="C876" i="1" s="1"/>
  <c r="M875" i="1" a="1"/>
  <c r="M875" i="1" s="1"/>
  <c r="I875" i="1"/>
  <c r="H875" i="1"/>
  <c r="G875" i="1"/>
  <c r="F875" i="1"/>
  <c r="C875" i="1" a="1"/>
  <c r="C875" i="1" s="1"/>
  <c r="M874" i="1" a="1"/>
  <c r="M874" i="1" s="1"/>
  <c r="I874" i="1"/>
  <c r="H874" i="1"/>
  <c r="G874" i="1"/>
  <c r="F874" i="1"/>
  <c r="C874" i="1" a="1"/>
  <c r="C874" i="1" s="1"/>
  <c r="M873" i="1" a="1"/>
  <c r="M873" i="1" s="1"/>
  <c r="I873" i="1"/>
  <c r="H873" i="1"/>
  <c r="G873" i="1"/>
  <c r="F873" i="1"/>
  <c r="C873" i="1" a="1"/>
  <c r="C873" i="1" s="1"/>
  <c r="M872" i="1" a="1"/>
  <c r="M872" i="1" s="1"/>
  <c r="I872" i="1"/>
  <c r="H872" i="1"/>
  <c r="G872" i="1"/>
  <c r="F872" i="1"/>
  <c r="C872" i="1" a="1"/>
  <c r="C872" i="1" s="1"/>
  <c r="M871" i="1" a="1"/>
  <c r="M871" i="1" s="1"/>
  <c r="I871" i="1"/>
  <c r="H871" i="1"/>
  <c r="G871" i="1"/>
  <c r="F871" i="1"/>
  <c r="C871" i="1" a="1"/>
  <c r="C871" i="1" s="1"/>
  <c r="M870" i="1" a="1"/>
  <c r="M870" i="1" s="1"/>
  <c r="I870" i="1"/>
  <c r="H870" i="1"/>
  <c r="G870" i="1"/>
  <c r="F870" i="1"/>
  <c r="C870" i="1" a="1"/>
  <c r="C870" i="1" s="1"/>
  <c r="M869" i="1" a="1"/>
  <c r="M869" i="1" s="1"/>
  <c r="I869" i="1"/>
  <c r="H869" i="1"/>
  <c r="G869" i="1"/>
  <c r="F869" i="1"/>
  <c r="C869" i="1" a="1"/>
  <c r="C869" i="1" s="1"/>
  <c r="M868" i="1" a="1"/>
  <c r="M868" i="1" s="1"/>
  <c r="I868" i="1"/>
  <c r="H868" i="1"/>
  <c r="G868" i="1"/>
  <c r="F868" i="1"/>
  <c r="C868" i="1" a="1"/>
  <c r="C868" i="1" s="1"/>
  <c r="M867" i="1" a="1"/>
  <c r="M867" i="1" s="1"/>
  <c r="I867" i="1"/>
  <c r="H867" i="1"/>
  <c r="G867" i="1"/>
  <c r="F867" i="1"/>
  <c r="C867" i="1" a="1"/>
  <c r="C867" i="1" s="1"/>
  <c r="M866" i="1" a="1"/>
  <c r="M866" i="1" s="1"/>
  <c r="I866" i="1"/>
  <c r="H866" i="1"/>
  <c r="G866" i="1"/>
  <c r="F866" i="1"/>
  <c r="C866" i="1" a="1"/>
  <c r="C866" i="1" s="1"/>
  <c r="M865" i="1" a="1"/>
  <c r="M865" i="1" s="1"/>
  <c r="I865" i="1"/>
  <c r="H865" i="1"/>
  <c r="G865" i="1"/>
  <c r="F865" i="1"/>
  <c r="C865" i="1" a="1"/>
  <c r="C865" i="1" s="1"/>
  <c r="M864" i="1" a="1"/>
  <c r="M864" i="1" s="1"/>
  <c r="I864" i="1"/>
  <c r="H864" i="1"/>
  <c r="G864" i="1"/>
  <c r="F864" i="1"/>
  <c r="C864" i="1" a="1"/>
  <c r="C864" i="1" s="1"/>
  <c r="M863" i="1" a="1"/>
  <c r="M863" i="1" s="1"/>
  <c r="I863" i="1"/>
  <c r="H863" i="1"/>
  <c r="G863" i="1"/>
  <c r="F863" i="1"/>
  <c r="C863" i="1" a="1"/>
  <c r="C863" i="1" s="1"/>
  <c r="M862" i="1" a="1"/>
  <c r="M862" i="1" s="1"/>
  <c r="I862" i="1"/>
  <c r="H862" i="1"/>
  <c r="G862" i="1"/>
  <c r="F862" i="1"/>
  <c r="C862" i="1" a="1"/>
  <c r="C862" i="1" s="1"/>
  <c r="M861" i="1" a="1"/>
  <c r="M861" i="1" s="1"/>
  <c r="I861" i="1"/>
  <c r="H861" i="1"/>
  <c r="G861" i="1"/>
  <c r="F861" i="1"/>
  <c r="C861" i="1" a="1"/>
  <c r="C861" i="1" s="1"/>
  <c r="M860" i="1" a="1"/>
  <c r="M860" i="1" s="1"/>
  <c r="I860" i="1"/>
  <c r="H860" i="1"/>
  <c r="G860" i="1"/>
  <c r="F860" i="1"/>
  <c r="C860" i="1" a="1"/>
  <c r="C860" i="1" s="1"/>
  <c r="M859" i="1" a="1"/>
  <c r="M859" i="1" s="1"/>
  <c r="I859" i="1"/>
  <c r="H859" i="1"/>
  <c r="G859" i="1"/>
  <c r="F859" i="1"/>
  <c r="C859" i="1" a="1"/>
  <c r="C859" i="1" s="1"/>
  <c r="M858" i="1" a="1"/>
  <c r="M858" i="1" s="1"/>
  <c r="I858" i="1"/>
  <c r="H858" i="1"/>
  <c r="G858" i="1"/>
  <c r="F858" i="1"/>
  <c r="C858" i="1" a="1"/>
  <c r="C858" i="1" s="1"/>
  <c r="M857" i="1" a="1"/>
  <c r="M857" i="1" s="1"/>
  <c r="I857" i="1"/>
  <c r="H857" i="1"/>
  <c r="G857" i="1"/>
  <c r="F857" i="1"/>
  <c r="C857" i="1" a="1"/>
  <c r="C857" i="1" s="1"/>
  <c r="M856" i="1" a="1"/>
  <c r="M856" i="1" s="1"/>
  <c r="I856" i="1"/>
  <c r="H856" i="1"/>
  <c r="G856" i="1"/>
  <c r="F856" i="1"/>
  <c r="C856" i="1" a="1"/>
  <c r="C856" i="1" s="1"/>
  <c r="M855" i="1" a="1"/>
  <c r="M855" i="1" s="1"/>
  <c r="I855" i="1"/>
  <c r="H855" i="1"/>
  <c r="G855" i="1"/>
  <c r="F855" i="1"/>
  <c r="C855" i="1" a="1"/>
  <c r="C855" i="1" s="1"/>
  <c r="M854" i="1" a="1"/>
  <c r="M854" i="1" s="1"/>
  <c r="I854" i="1"/>
  <c r="H854" i="1"/>
  <c r="G854" i="1"/>
  <c r="F854" i="1"/>
  <c r="C854" i="1" a="1"/>
  <c r="C854" i="1" s="1"/>
  <c r="M853" i="1" a="1"/>
  <c r="M853" i="1" s="1"/>
  <c r="I853" i="1"/>
  <c r="H853" i="1"/>
  <c r="G853" i="1"/>
  <c r="F853" i="1"/>
  <c r="C853" i="1" a="1"/>
  <c r="C853" i="1" s="1"/>
  <c r="M852" i="1" a="1"/>
  <c r="M852" i="1" s="1"/>
  <c r="I852" i="1"/>
  <c r="H852" i="1"/>
  <c r="G852" i="1"/>
  <c r="F852" i="1"/>
  <c r="C852" i="1" a="1"/>
  <c r="C852" i="1" s="1"/>
  <c r="M851" i="1" a="1"/>
  <c r="M851" i="1" s="1"/>
  <c r="I851" i="1"/>
  <c r="H851" i="1"/>
  <c r="G851" i="1"/>
  <c r="F851" i="1"/>
  <c r="C851" i="1" a="1"/>
  <c r="C851" i="1" s="1"/>
  <c r="M850" i="1" a="1"/>
  <c r="M850" i="1" s="1"/>
  <c r="I850" i="1"/>
  <c r="H850" i="1"/>
  <c r="G850" i="1"/>
  <c r="F850" i="1"/>
  <c r="C850" i="1" a="1"/>
  <c r="C850" i="1" s="1"/>
  <c r="M849" i="1" a="1"/>
  <c r="M849" i="1" s="1"/>
  <c r="I849" i="1"/>
  <c r="H849" i="1"/>
  <c r="G849" i="1"/>
  <c r="F849" i="1"/>
  <c r="C849" i="1" a="1"/>
  <c r="C849" i="1" s="1"/>
  <c r="M848" i="1" a="1"/>
  <c r="M848" i="1" s="1"/>
  <c r="I848" i="1"/>
  <c r="H848" i="1"/>
  <c r="G848" i="1"/>
  <c r="F848" i="1"/>
  <c r="C848" i="1" a="1"/>
  <c r="C848" i="1" s="1"/>
  <c r="M847" i="1" a="1"/>
  <c r="M847" i="1" s="1"/>
  <c r="I847" i="1"/>
  <c r="H847" i="1"/>
  <c r="G847" i="1"/>
  <c r="F847" i="1"/>
  <c r="C847" i="1" a="1"/>
  <c r="C847" i="1" s="1"/>
  <c r="M846" i="1" a="1"/>
  <c r="M846" i="1" s="1"/>
  <c r="I846" i="1"/>
  <c r="H846" i="1"/>
  <c r="G846" i="1"/>
  <c r="F846" i="1"/>
  <c r="C846" i="1" a="1"/>
  <c r="C846" i="1" s="1"/>
  <c r="M845" i="1" a="1"/>
  <c r="M845" i="1" s="1"/>
  <c r="I845" i="1"/>
  <c r="H845" i="1"/>
  <c r="G845" i="1"/>
  <c r="F845" i="1"/>
  <c r="C845" i="1" a="1"/>
  <c r="C845" i="1" s="1"/>
  <c r="M844" i="1" a="1"/>
  <c r="M844" i="1" s="1"/>
  <c r="I844" i="1"/>
  <c r="H844" i="1"/>
  <c r="G844" i="1"/>
  <c r="F844" i="1"/>
  <c r="C844" i="1" a="1"/>
  <c r="C844" i="1" s="1"/>
  <c r="M843" i="1" a="1"/>
  <c r="M843" i="1" s="1"/>
  <c r="I843" i="1"/>
  <c r="H843" i="1"/>
  <c r="G843" i="1"/>
  <c r="F843" i="1"/>
  <c r="C843" i="1" a="1"/>
  <c r="C843" i="1" s="1"/>
  <c r="M842" i="1" a="1"/>
  <c r="M842" i="1" s="1"/>
  <c r="I842" i="1"/>
  <c r="H842" i="1"/>
  <c r="G842" i="1"/>
  <c r="F842" i="1"/>
  <c r="C842" i="1" a="1"/>
  <c r="C842" i="1" s="1"/>
  <c r="M841" i="1" a="1"/>
  <c r="M841" i="1" s="1"/>
  <c r="I841" i="1"/>
  <c r="H841" i="1"/>
  <c r="G841" i="1"/>
  <c r="F841" i="1"/>
  <c r="C841" i="1" a="1"/>
  <c r="C841" i="1" s="1"/>
  <c r="M840" i="1" a="1"/>
  <c r="M840" i="1" s="1"/>
  <c r="I840" i="1"/>
  <c r="H840" i="1"/>
  <c r="G840" i="1"/>
  <c r="F840" i="1"/>
  <c r="C840" i="1" a="1"/>
  <c r="C840" i="1" s="1"/>
  <c r="M839" i="1" a="1"/>
  <c r="M839" i="1" s="1"/>
  <c r="I839" i="1"/>
  <c r="H839" i="1"/>
  <c r="G839" i="1"/>
  <c r="F839" i="1"/>
  <c r="C839" i="1" a="1"/>
  <c r="C839" i="1" s="1"/>
  <c r="M838" i="1" a="1"/>
  <c r="M838" i="1" s="1"/>
  <c r="I838" i="1"/>
  <c r="H838" i="1"/>
  <c r="G838" i="1"/>
  <c r="F838" i="1"/>
  <c r="C838" i="1" a="1"/>
  <c r="C838" i="1" s="1"/>
  <c r="M837" i="1" a="1"/>
  <c r="M837" i="1" s="1"/>
  <c r="I837" i="1"/>
  <c r="H837" i="1"/>
  <c r="G837" i="1"/>
  <c r="F837" i="1"/>
  <c r="C837" i="1" a="1"/>
  <c r="C837" i="1" s="1"/>
  <c r="M836" i="1" a="1"/>
  <c r="M836" i="1" s="1"/>
  <c r="I836" i="1"/>
  <c r="H836" i="1"/>
  <c r="G836" i="1"/>
  <c r="F836" i="1"/>
  <c r="C836" i="1" a="1"/>
  <c r="C836" i="1" s="1"/>
  <c r="M835" i="1" a="1"/>
  <c r="M835" i="1" s="1"/>
  <c r="I835" i="1"/>
  <c r="H835" i="1"/>
  <c r="G835" i="1"/>
  <c r="F835" i="1"/>
  <c r="C835" i="1" a="1"/>
  <c r="C835" i="1" s="1"/>
  <c r="M834" i="1" a="1"/>
  <c r="M834" i="1" s="1"/>
  <c r="I834" i="1"/>
  <c r="H834" i="1"/>
  <c r="G834" i="1"/>
  <c r="F834" i="1"/>
  <c r="C834" i="1" a="1"/>
  <c r="C834" i="1" s="1"/>
  <c r="M833" i="1" a="1"/>
  <c r="M833" i="1" s="1"/>
  <c r="I833" i="1"/>
  <c r="H833" i="1"/>
  <c r="G833" i="1"/>
  <c r="F833" i="1"/>
  <c r="C833" i="1" a="1"/>
  <c r="C833" i="1" s="1"/>
  <c r="M832" i="1" a="1"/>
  <c r="M832" i="1" s="1"/>
  <c r="I832" i="1"/>
  <c r="H832" i="1"/>
  <c r="G832" i="1"/>
  <c r="F832" i="1"/>
  <c r="C832" i="1" a="1"/>
  <c r="C832" i="1" s="1"/>
  <c r="M831" i="1" a="1"/>
  <c r="M831" i="1" s="1"/>
  <c r="I831" i="1"/>
  <c r="H831" i="1"/>
  <c r="G831" i="1"/>
  <c r="F831" i="1"/>
  <c r="C831" i="1" a="1"/>
  <c r="C831" i="1" s="1"/>
  <c r="M830" i="1" a="1"/>
  <c r="M830" i="1" s="1"/>
  <c r="I830" i="1"/>
  <c r="H830" i="1"/>
  <c r="G830" i="1"/>
  <c r="F830" i="1"/>
  <c r="C830" i="1"/>
  <c r="C830" i="1" a="1"/>
  <c r="M829" i="1"/>
  <c r="M829" i="1" a="1"/>
  <c r="I829" i="1"/>
  <c r="H829" i="1"/>
  <c r="G829" i="1"/>
  <c r="F829" i="1"/>
  <c r="C829" i="1"/>
  <c r="C829" i="1" a="1"/>
  <c r="M828" i="1"/>
  <c r="M828" i="1" a="1"/>
  <c r="I828" i="1"/>
  <c r="H828" i="1"/>
  <c r="G828" i="1"/>
  <c r="F828" i="1"/>
  <c r="C828" i="1"/>
  <c r="C828" i="1" a="1"/>
  <c r="M827" i="1"/>
  <c r="M827" i="1" a="1"/>
  <c r="I827" i="1"/>
  <c r="H827" i="1"/>
  <c r="G827" i="1"/>
  <c r="F827" i="1"/>
  <c r="C827" i="1"/>
  <c r="C827" i="1" a="1"/>
  <c r="M826" i="1"/>
  <c r="M826" i="1" a="1"/>
  <c r="I826" i="1"/>
  <c r="H826" i="1"/>
  <c r="G826" i="1"/>
  <c r="F826" i="1"/>
  <c r="C826" i="1"/>
  <c r="C826" i="1" a="1"/>
  <c r="M825" i="1"/>
  <c r="M825" i="1" a="1"/>
  <c r="I825" i="1"/>
  <c r="H825" i="1"/>
  <c r="G825" i="1"/>
  <c r="F825" i="1"/>
  <c r="C825" i="1"/>
  <c r="C825" i="1" a="1"/>
  <c r="M824" i="1"/>
  <c r="M824" i="1" a="1"/>
  <c r="I824" i="1"/>
  <c r="H824" i="1"/>
  <c r="G824" i="1"/>
  <c r="F824" i="1"/>
  <c r="C824" i="1"/>
  <c r="C824" i="1" a="1"/>
  <c r="M823" i="1"/>
  <c r="M823" i="1" a="1"/>
  <c r="I823" i="1"/>
  <c r="H823" i="1"/>
  <c r="G823" i="1"/>
  <c r="F823" i="1"/>
  <c r="C823" i="1"/>
  <c r="C823" i="1" a="1"/>
  <c r="M822" i="1"/>
  <c r="M822" i="1" a="1"/>
  <c r="I822" i="1"/>
  <c r="H822" i="1"/>
  <c r="G822" i="1"/>
  <c r="F822" i="1"/>
  <c r="C822" i="1"/>
  <c r="C822" i="1" a="1"/>
  <c r="M821" i="1"/>
  <c r="M821" i="1" a="1"/>
  <c r="I821" i="1"/>
  <c r="H821" i="1"/>
  <c r="G821" i="1"/>
  <c r="F821" i="1"/>
  <c r="C821" i="1"/>
  <c r="C821" i="1" a="1"/>
  <c r="M820" i="1"/>
  <c r="M820" i="1" a="1"/>
  <c r="I820" i="1"/>
  <c r="H820" i="1"/>
  <c r="G820" i="1"/>
  <c r="F820" i="1"/>
  <c r="C820" i="1"/>
  <c r="C820" i="1" a="1"/>
  <c r="M819" i="1"/>
  <c r="M819" i="1" a="1"/>
  <c r="I819" i="1"/>
  <c r="H819" i="1"/>
  <c r="G819" i="1"/>
  <c r="F819" i="1"/>
  <c r="C819" i="1"/>
  <c r="C819" i="1" a="1"/>
  <c r="M818" i="1"/>
  <c r="M818" i="1" a="1"/>
  <c r="I818" i="1"/>
  <c r="H818" i="1"/>
  <c r="G818" i="1"/>
  <c r="F818" i="1"/>
  <c r="C818" i="1"/>
  <c r="C818" i="1" a="1"/>
  <c r="M817" i="1"/>
  <c r="M817" i="1" a="1"/>
  <c r="I817" i="1"/>
  <c r="H817" i="1"/>
  <c r="G817" i="1"/>
  <c r="F817" i="1"/>
  <c r="C817" i="1"/>
  <c r="C817" i="1" a="1"/>
  <c r="M816" i="1"/>
  <c r="M816" i="1" a="1"/>
  <c r="I816" i="1"/>
  <c r="H816" i="1"/>
  <c r="G816" i="1"/>
  <c r="F816" i="1"/>
  <c r="C816" i="1"/>
  <c r="C816" i="1" a="1"/>
  <c r="M815" i="1"/>
  <c r="M815" i="1" a="1"/>
  <c r="I815" i="1"/>
  <c r="H815" i="1"/>
  <c r="G815" i="1"/>
  <c r="F815" i="1"/>
  <c r="C815" i="1"/>
  <c r="C815" i="1" a="1"/>
  <c r="M814" i="1"/>
  <c r="M814" i="1" a="1"/>
  <c r="I814" i="1"/>
  <c r="H814" i="1"/>
  <c r="G814" i="1"/>
  <c r="F814" i="1"/>
  <c r="C814" i="1"/>
  <c r="C814" i="1" a="1"/>
  <c r="M813" i="1"/>
  <c r="M813" i="1" a="1"/>
  <c r="I813" i="1"/>
  <c r="H813" i="1"/>
  <c r="G813" i="1"/>
  <c r="F813" i="1"/>
  <c r="C813" i="1"/>
  <c r="C813" i="1" a="1"/>
  <c r="M812" i="1"/>
  <c r="M812" i="1" a="1"/>
  <c r="I812" i="1"/>
  <c r="H812" i="1"/>
  <c r="G812" i="1"/>
  <c r="F812" i="1"/>
  <c r="C812" i="1"/>
  <c r="C812" i="1" a="1"/>
  <c r="M811" i="1"/>
  <c r="M811" i="1" a="1"/>
  <c r="I811" i="1"/>
  <c r="H811" i="1"/>
  <c r="G811" i="1"/>
  <c r="F811" i="1"/>
  <c r="C811" i="1"/>
  <c r="C811" i="1" a="1"/>
  <c r="M810" i="1"/>
  <c r="M810" i="1" a="1"/>
  <c r="I810" i="1"/>
  <c r="H810" i="1"/>
  <c r="G810" i="1"/>
  <c r="F810" i="1"/>
  <c r="C810" i="1"/>
  <c r="C810" i="1" a="1"/>
  <c r="M809" i="1"/>
  <c r="M809" i="1" a="1"/>
  <c r="I809" i="1"/>
  <c r="H809" i="1"/>
  <c r="G809" i="1"/>
  <c r="F809" i="1"/>
  <c r="C809" i="1"/>
  <c r="C809" i="1" a="1"/>
  <c r="M808" i="1"/>
  <c r="M808" i="1" a="1"/>
  <c r="I808" i="1"/>
  <c r="H808" i="1"/>
  <c r="G808" i="1"/>
  <c r="F808" i="1"/>
  <c r="C808" i="1"/>
  <c r="C808" i="1" a="1"/>
  <c r="M807" i="1"/>
  <c r="M807" i="1" a="1"/>
  <c r="I807" i="1"/>
  <c r="H807" i="1"/>
  <c r="G807" i="1"/>
  <c r="F807" i="1"/>
  <c r="C807" i="1"/>
  <c r="C807" i="1" a="1"/>
  <c r="M806" i="1"/>
  <c r="M806" i="1" a="1"/>
  <c r="I806" i="1"/>
  <c r="H806" i="1"/>
  <c r="G806" i="1"/>
  <c r="F806" i="1"/>
  <c r="C806" i="1"/>
  <c r="C806" i="1" a="1"/>
  <c r="M805" i="1"/>
  <c r="M805" i="1" a="1"/>
  <c r="I805" i="1"/>
  <c r="H805" i="1"/>
  <c r="G805" i="1"/>
  <c r="F805" i="1"/>
  <c r="C805" i="1"/>
  <c r="C805" i="1" a="1"/>
  <c r="M804" i="1"/>
  <c r="M804" i="1" a="1"/>
  <c r="I804" i="1"/>
  <c r="H804" i="1"/>
  <c r="G804" i="1"/>
  <c r="F804" i="1"/>
  <c r="C804" i="1"/>
  <c r="C804" i="1" a="1"/>
  <c r="M803" i="1"/>
  <c r="M803" i="1" a="1"/>
  <c r="I803" i="1"/>
  <c r="H803" i="1"/>
  <c r="G803" i="1"/>
  <c r="F803" i="1"/>
  <c r="C803" i="1"/>
  <c r="C803" i="1" a="1"/>
  <c r="M802" i="1"/>
  <c r="M802" i="1" a="1"/>
  <c r="I802" i="1"/>
  <c r="H802" i="1"/>
  <c r="G802" i="1"/>
  <c r="F802" i="1"/>
  <c r="C802" i="1"/>
  <c r="C802" i="1" a="1"/>
  <c r="M801" i="1"/>
  <c r="M801" i="1" a="1"/>
  <c r="I801" i="1"/>
  <c r="H801" i="1"/>
  <c r="G801" i="1"/>
  <c r="F801" i="1"/>
  <c r="C801" i="1"/>
  <c r="C801" i="1" a="1"/>
  <c r="M800" i="1"/>
  <c r="M800" i="1" a="1"/>
  <c r="I800" i="1"/>
  <c r="H800" i="1"/>
  <c r="G800" i="1"/>
  <c r="F800" i="1"/>
  <c r="C800" i="1"/>
  <c r="C800" i="1" a="1"/>
  <c r="M799" i="1"/>
  <c r="M799" i="1" a="1"/>
  <c r="I799" i="1"/>
  <c r="H799" i="1"/>
  <c r="G799" i="1"/>
  <c r="F799" i="1"/>
  <c r="C799" i="1"/>
  <c r="C799" i="1" a="1"/>
  <c r="M798" i="1"/>
  <c r="M798" i="1" a="1"/>
  <c r="I798" i="1"/>
  <c r="H798" i="1"/>
  <c r="G798" i="1"/>
  <c r="F798" i="1"/>
  <c r="C798" i="1"/>
  <c r="C798" i="1" a="1"/>
  <c r="M797" i="1"/>
  <c r="M797" i="1" a="1"/>
  <c r="I797" i="1"/>
  <c r="H797" i="1"/>
  <c r="G797" i="1"/>
  <c r="F797" i="1"/>
  <c r="C797" i="1"/>
  <c r="C797" i="1" a="1"/>
  <c r="M796" i="1"/>
  <c r="M796" i="1" a="1"/>
  <c r="I796" i="1"/>
  <c r="H796" i="1"/>
  <c r="G796" i="1"/>
  <c r="F796" i="1"/>
  <c r="C796" i="1"/>
  <c r="C796" i="1" a="1"/>
  <c r="M795" i="1"/>
  <c r="M795" i="1" a="1"/>
  <c r="I795" i="1"/>
  <c r="H795" i="1"/>
  <c r="G795" i="1"/>
  <c r="F795" i="1"/>
  <c r="C795" i="1"/>
  <c r="C795" i="1" a="1"/>
  <c r="M794" i="1"/>
  <c r="M794" i="1" a="1"/>
  <c r="I794" i="1"/>
  <c r="H794" i="1"/>
  <c r="G794" i="1"/>
  <c r="F794" i="1"/>
  <c r="C794" i="1"/>
  <c r="C794" i="1" a="1"/>
  <c r="M793" i="1"/>
  <c r="M793" i="1" a="1"/>
  <c r="I793" i="1"/>
  <c r="H793" i="1"/>
  <c r="G793" i="1"/>
  <c r="F793" i="1"/>
  <c r="C793" i="1"/>
  <c r="C793" i="1" a="1"/>
  <c r="M792" i="1"/>
  <c r="M792" i="1" a="1"/>
  <c r="I792" i="1"/>
  <c r="H792" i="1"/>
  <c r="G792" i="1"/>
  <c r="F792" i="1"/>
  <c r="C792" i="1"/>
  <c r="C792" i="1" a="1"/>
  <c r="M791" i="1"/>
  <c r="M791" i="1" a="1"/>
  <c r="I791" i="1"/>
  <c r="H791" i="1"/>
  <c r="G791" i="1"/>
  <c r="F791" i="1"/>
  <c r="C791" i="1" a="1"/>
  <c r="C791" i="1" s="1"/>
  <c r="M790" i="1" a="1"/>
  <c r="M790" i="1" s="1"/>
  <c r="I790" i="1"/>
  <c r="H790" i="1"/>
  <c r="G790" i="1"/>
  <c r="F790" i="1"/>
  <c r="C790" i="1" a="1"/>
  <c r="C790" i="1" s="1"/>
  <c r="M789" i="1" a="1"/>
  <c r="M789" i="1" s="1"/>
  <c r="I789" i="1"/>
  <c r="H789" i="1"/>
  <c r="G789" i="1"/>
  <c r="F789" i="1"/>
  <c r="C789" i="1" a="1"/>
  <c r="C789" i="1" s="1"/>
  <c r="M788" i="1"/>
  <c r="M788" i="1" a="1"/>
  <c r="I788" i="1"/>
  <c r="H788" i="1"/>
  <c r="G788" i="1"/>
  <c r="F788" i="1"/>
  <c r="C788" i="1" a="1"/>
  <c r="C788" i="1" s="1"/>
  <c r="M787" i="1"/>
  <c r="M787" i="1" a="1"/>
  <c r="I787" i="1"/>
  <c r="H787" i="1"/>
  <c r="G787" i="1"/>
  <c r="F787" i="1"/>
  <c r="C787" i="1" a="1"/>
  <c r="C787" i="1" s="1"/>
  <c r="M786" i="1" a="1"/>
  <c r="M786" i="1" s="1"/>
  <c r="I786" i="1"/>
  <c r="H786" i="1"/>
  <c r="G786" i="1"/>
  <c r="F786" i="1"/>
  <c r="C786" i="1" a="1"/>
  <c r="C786" i="1" s="1"/>
  <c r="M785" i="1" a="1"/>
  <c r="M785" i="1" s="1"/>
  <c r="I785" i="1"/>
  <c r="H785" i="1"/>
  <c r="G785" i="1"/>
  <c r="F785" i="1"/>
  <c r="C785" i="1" a="1"/>
  <c r="C785" i="1" s="1"/>
  <c r="M784" i="1"/>
  <c r="M784" i="1" a="1"/>
  <c r="I784" i="1"/>
  <c r="H784" i="1"/>
  <c r="G784" i="1"/>
  <c r="F784" i="1"/>
  <c r="C784" i="1" a="1"/>
  <c r="C784" i="1" s="1"/>
  <c r="M783" i="1"/>
  <c r="M783" i="1" a="1"/>
  <c r="I783" i="1"/>
  <c r="H783" i="1"/>
  <c r="G783" i="1"/>
  <c r="F783" i="1"/>
  <c r="C783" i="1" a="1"/>
  <c r="C783" i="1" s="1"/>
  <c r="M782" i="1" a="1"/>
  <c r="M782" i="1" s="1"/>
  <c r="I782" i="1"/>
  <c r="H782" i="1"/>
  <c r="G782" i="1"/>
  <c r="F782" i="1"/>
  <c r="C782" i="1" a="1"/>
  <c r="C782" i="1" s="1"/>
  <c r="M781" i="1" a="1"/>
  <c r="M781" i="1" s="1"/>
  <c r="I781" i="1"/>
  <c r="H781" i="1"/>
  <c r="G781" i="1"/>
  <c r="F781" i="1"/>
  <c r="C781" i="1" a="1"/>
  <c r="C781" i="1" s="1"/>
  <c r="M780" i="1"/>
  <c r="M780" i="1" a="1"/>
  <c r="I780" i="1"/>
  <c r="H780" i="1"/>
  <c r="G780" i="1"/>
  <c r="F780" i="1"/>
  <c r="C780" i="1" a="1"/>
  <c r="C780" i="1" s="1"/>
  <c r="M779" i="1"/>
  <c r="M779" i="1" a="1"/>
  <c r="I779" i="1"/>
  <c r="H779" i="1"/>
  <c r="G779" i="1"/>
  <c r="F779" i="1"/>
  <c r="C779" i="1" a="1"/>
  <c r="C779" i="1" s="1"/>
  <c r="M778" i="1" a="1"/>
  <c r="M778" i="1" s="1"/>
  <c r="I778" i="1"/>
  <c r="H778" i="1"/>
  <c r="G778" i="1"/>
  <c r="F778" i="1"/>
  <c r="C778" i="1" a="1"/>
  <c r="C778" i="1" s="1"/>
  <c r="M777" i="1" a="1"/>
  <c r="M777" i="1" s="1"/>
  <c r="I777" i="1"/>
  <c r="H777" i="1"/>
  <c r="G777" i="1"/>
  <c r="F777" i="1"/>
  <c r="C777" i="1" a="1"/>
  <c r="C777" i="1" s="1"/>
  <c r="M776" i="1"/>
  <c r="M776" i="1" a="1"/>
  <c r="I776" i="1"/>
  <c r="H776" i="1"/>
  <c r="G776" i="1"/>
  <c r="F776" i="1"/>
  <c r="C776" i="1" a="1"/>
  <c r="C776" i="1" s="1"/>
  <c r="M775" i="1"/>
  <c r="M775" i="1" a="1"/>
  <c r="I775" i="1"/>
  <c r="H775" i="1"/>
  <c r="G775" i="1"/>
  <c r="F775" i="1"/>
  <c r="C775" i="1" a="1"/>
  <c r="C775" i="1" s="1"/>
  <c r="M774" i="1" a="1"/>
  <c r="M774" i="1" s="1"/>
  <c r="I774" i="1"/>
  <c r="H774" i="1"/>
  <c r="G774" i="1"/>
  <c r="F774" i="1"/>
  <c r="C774" i="1" a="1"/>
  <c r="C774" i="1" s="1"/>
  <c r="M773" i="1" a="1"/>
  <c r="M773" i="1" s="1"/>
  <c r="I773" i="1"/>
  <c r="H773" i="1"/>
  <c r="G773" i="1"/>
  <c r="F773" i="1"/>
  <c r="C773" i="1" a="1"/>
  <c r="C773" i="1" s="1"/>
  <c r="M772" i="1"/>
  <c r="M772" i="1" a="1"/>
  <c r="I772" i="1"/>
  <c r="H772" i="1"/>
  <c r="G772" i="1"/>
  <c r="F772" i="1"/>
  <c r="C772" i="1" a="1"/>
  <c r="C772" i="1" s="1"/>
  <c r="M771" i="1"/>
  <c r="M771" i="1" a="1"/>
  <c r="I771" i="1"/>
  <c r="H771" i="1"/>
  <c r="G771" i="1"/>
  <c r="F771" i="1"/>
  <c r="C771" i="1" a="1"/>
  <c r="C771" i="1" s="1"/>
  <c r="M770" i="1" a="1"/>
  <c r="M770" i="1" s="1"/>
  <c r="I770" i="1"/>
  <c r="H770" i="1"/>
  <c r="G770" i="1"/>
  <c r="F770" i="1"/>
  <c r="C770" i="1" a="1"/>
  <c r="C770" i="1" s="1"/>
  <c r="M769" i="1" a="1"/>
  <c r="M769" i="1" s="1"/>
  <c r="I769" i="1"/>
  <c r="H769" i="1"/>
  <c r="G769" i="1"/>
  <c r="F769" i="1"/>
  <c r="C769" i="1" a="1"/>
  <c r="C769" i="1" s="1"/>
  <c r="M768" i="1"/>
  <c r="M768" i="1" a="1"/>
  <c r="I768" i="1"/>
  <c r="H768" i="1"/>
  <c r="G768" i="1"/>
  <c r="F768" i="1"/>
  <c r="C768" i="1" a="1"/>
  <c r="C768" i="1" s="1"/>
  <c r="M767" i="1"/>
  <c r="M767" i="1" a="1"/>
  <c r="I767" i="1"/>
  <c r="H767" i="1"/>
  <c r="G767" i="1"/>
  <c r="F767" i="1"/>
  <c r="C767" i="1" a="1"/>
  <c r="C767" i="1" s="1"/>
  <c r="M766" i="1" a="1"/>
  <c r="M766" i="1" s="1"/>
  <c r="I766" i="1"/>
  <c r="H766" i="1"/>
  <c r="G766" i="1"/>
  <c r="F766" i="1"/>
  <c r="C766" i="1" a="1"/>
  <c r="C766" i="1" s="1"/>
  <c r="M765" i="1" a="1"/>
  <c r="M765" i="1" s="1"/>
  <c r="I765" i="1"/>
  <c r="H765" i="1"/>
  <c r="G765" i="1"/>
  <c r="F765" i="1"/>
  <c r="C765" i="1" a="1"/>
  <c r="C765" i="1" s="1"/>
  <c r="M764" i="1"/>
  <c r="M764" i="1" a="1"/>
  <c r="I764" i="1"/>
  <c r="H764" i="1"/>
  <c r="G764" i="1"/>
  <c r="F764" i="1"/>
  <c r="C764" i="1" a="1"/>
  <c r="C764" i="1" s="1"/>
  <c r="M763" i="1"/>
  <c r="M763" i="1" a="1"/>
  <c r="I763" i="1"/>
  <c r="H763" i="1"/>
  <c r="G763" i="1"/>
  <c r="F763" i="1"/>
  <c r="C763" i="1" a="1"/>
  <c r="C763" i="1" s="1"/>
  <c r="M762" i="1" a="1"/>
  <c r="M762" i="1" s="1"/>
  <c r="I762" i="1"/>
  <c r="H762" i="1"/>
  <c r="G762" i="1"/>
  <c r="F762" i="1"/>
  <c r="C762" i="1" a="1"/>
  <c r="C762" i="1" s="1"/>
  <c r="M761" i="1" a="1"/>
  <c r="M761" i="1" s="1"/>
  <c r="I761" i="1"/>
  <c r="H761" i="1"/>
  <c r="G761" i="1"/>
  <c r="F761" i="1"/>
  <c r="C761" i="1" a="1"/>
  <c r="C761" i="1" s="1"/>
  <c r="M760" i="1"/>
  <c r="M760" i="1" a="1"/>
  <c r="I760" i="1"/>
  <c r="H760" i="1"/>
  <c r="G760" i="1"/>
  <c r="F760" i="1"/>
  <c r="C760" i="1" a="1"/>
  <c r="C760" i="1" s="1"/>
  <c r="M759" i="1"/>
  <c r="M759" i="1" a="1"/>
  <c r="I759" i="1"/>
  <c r="H759" i="1"/>
  <c r="G759" i="1"/>
  <c r="F759" i="1"/>
  <c r="C759" i="1" a="1"/>
  <c r="C759" i="1" s="1"/>
  <c r="M758" i="1" a="1"/>
  <c r="M758" i="1" s="1"/>
  <c r="I758" i="1"/>
  <c r="H758" i="1"/>
  <c r="G758" i="1"/>
  <c r="F758" i="1"/>
  <c r="C758" i="1" a="1"/>
  <c r="C758" i="1" s="1"/>
  <c r="M757" i="1" a="1"/>
  <c r="M757" i="1" s="1"/>
  <c r="I757" i="1"/>
  <c r="H757" i="1"/>
  <c r="G757" i="1"/>
  <c r="F757" i="1"/>
  <c r="C757" i="1" a="1"/>
  <c r="C757" i="1" s="1"/>
  <c r="M756" i="1"/>
  <c r="M756" i="1" a="1"/>
  <c r="I756" i="1"/>
  <c r="H756" i="1"/>
  <c r="G756" i="1"/>
  <c r="F756" i="1"/>
  <c r="C756" i="1" a="1"/>
  <c r="C756" i="1" s="1"/>
  <c r="M755" i="1"/>
  <c r="M755" i="1" a="1"/>
  <c r="I755" i="1"/>
  <c r="H755" i="1"/>
  <c r="G755" i="1"/>
  <c r="F755" i="1"/>
  <c r="C755" i="1" a="1"/>
  <c r="C755" i="1" s="1"/>
  <c r="M754" i="1" a="1"/>
  <c r="M754" i="1" s="1"/>
  <c r="I754" i="1"/>
  <c r="H754" i="1"/>
  <c r="G754" i="1"/>
  <c r="F754" i="1"/>
  <c r="C754" i="1" a="1"/>
  <c r="C754" i="1" s="1"/>
  <c r="M753" i="1" a="1"/>
  <c r="M753" i="1" s="1"/>
  <c r="I753" i="1"/>
  <c r="H753" i="1"/>
  <c r="G753" i="1"/>
  <c r="F753" i="1"/>
  <c r="C753" i="1" a="1"/>
  <c r="C753" i="1" s="1"/>
  <c r="M752" i="1"/>
  <c r="M752" i="1" a="1"/>
  <c r="I752" i="1"/>
  <c r="H752" i="1"/>
  <c r="G752" i="1"/>
  <c r="F752" i="1"/>
  <c r="C752" i="1" a="1"/>
  <c r="C752" i="1" s="1"/>
  <c r="M751" i="1"/>
  <c r="M751" i="1" a="1"/>
  <c r="I751" i="1"/>
  <c r="H751" i="1"/>
  <c r="G751" i="1"/>
  <c r="F751" i="1"/>
  <c r="C751" i="1" a="1"/>
  <c r="C751" i="1" s="1"/>
  <c r="M750" i="1" a="1"/>
  <c r="M750" i="1" s="1"/>
  <c r="I750" i="1"/>
  <c r="H750" i="1"/>
  <c r="G750" i="1"/>
  <c r="F750" i="1"/>
  <c r="C750" i="1" a="1"/>
  <c r="C750" i="1" s="1"/>
  <c r="M749" i="1" a="1"/>
  <c r="M749" i="1" s="1"/>
  <c r="I749" i="1"/>
  <c r="H749" i="1"/>
  <c r="G749" i="1"/>
  <c r="F749" i="1"/>
  <c r="C749" i="1" a="1"/>
  <c r="C749" i="1" s="1"/>
  <c r="M748" i="1"/>
  <c r="M748" i="1" a="1"/>
  <c r="I748" i="1"/>
  <c r="H748" i="1"/>
  <c r="G748" i="1"/>
  <c r="F748" i="1"/>
  <c r="C748" i="1" a="1"/>
  <c r="C748" i="1" s="1"/>
  <c r="M747" i="1"/>
  <c r="M747" i="1" a="1"/>
  <c r="I747" i="1"/>
  <c r="H747" i="1"/>
  <c r="G747" i="1"/>
  <c r="F747" i="1"/>
  <c r="C747" i="1" a="1"/>
  <c r="C747" i="1" s="1"/>
  <c r="M746" i="1" a="1"/>
  <c r="M746" i="1" s="1"/>
  <c r="I746" i="1"/>
  <c r="H746" i="1"/>
  <c r="G746" i="1"/>
  <c r="F746" i="1"/>
  <c r="C746" i="1" a="1"/>
  <c r="C746" i="1" s="1"/>
  <c r="M745" i="1" a="1"/>
  <c r="M745" i="1" s="1"/>
  <c r="I745" i="1"/>
  <c r="H745" i="1"/>
  <c r="G745" i="1"/>
  <c r="F745" i="1"/>
  <c r="C745" i="1" a="1"/>
  <c r="C745" i="1" s="1"/>
  <c r="M744" i="1"/>
  <c r="M744" i="1" a="1"/>
  <c r="I744" i="1"/>
  <c r="H744" i="1"/>
  <c r="G744" i="1"/>
  <c r="F744" i="1"/>
  <c r="C744" i="1" a="1"/>
  <c r="C744" i="1" s="1"/>
  <c r="M743" i="1"/>
  <c r="M743" i="1" a="1"/>
  <c r="I743" i="1"/>
  <c r="H743" i="1"/>
  <c r="G743" i="1"/>
  <c r="F743" i="1"/>
  <c r="C743" i="1" a="1"/>
  <c r="C743" i="1" s="1"/>
  <c r="M742" i="1" a="1"/>
  <c r="M742" i="1" s="1"/>
  <c r="I742" i="1"/>
  <c r="H742" i="1"/>
  <c r="G742" i="1"/>
  <c r="F742" i="1"/>
  <c r="C742" i="1" a="1"/>
  <c r="C742" i="1" s="1"/>
  <c r="M741" i="1" a="1"/>
  <c r="M741" i="1" s="1"/>
  <c r="I741" i="1"/>
  <c r="H741" i="1"/>
  <c r="G741" i="1"/>
  <c r="F741" i="1"/>
  <c r="C741" i="1" a="1"/>
  <c r="C741" i="1" s="1"/>
  <c r="M740" i="1"/>
  <c r="M740" i="1" a="1"/>
  <c r="I740" i="1"/>
  <c r="H740" i="1"/>
  <c r="G740" i="1"/>
  <c r="F740" i="1"/>
  <c r="C740" i="1" a="1"/>
  <c r="C740" i="1" s="1"/>
  <c r="M739" i="1"/>
  <c r="M739" i="1" a="1"/>
  <c r="I739" i="1"/>
  <c r="H739" i="1"/>
  <c r="G739" i="1"/>
  <c r="F739" i="1"/>
  <c r="C739" i="1" a="1"/>
  <c r="C739" i="1" s="1"/>
  <c r="M738" i="1" a="1"/>
  <c r="M738" i="1" s="1"/>
  <c r="I738" i="1"/>
  <c r="H738" i="1"/>
  <c r="G738" i="1"/>
  <c r="F738" i="1"/>
  <c r="C738" i="1" a="1"/>
  <c r="C738" i="1" s="1"/>
  <c r="M737" i="1" a="1"/>
  <c r="M737" i="1" s="1"/>
  <c r="I737" i="1"/>
  <c r="H737" i="1"/>
  <c r="G737" i="1"/>
  <c r="F737" i="1"/>
  <c r="C737" i="1" a="1"/>
  <c r="C737" i="1" s="1"/>
  <c r="M736" i="1"/>
  <c r="M736" i="1" a="1"/>
  <c r="I736" i="1"/>
  <c r="H736" i="1"/>
  <c r="G736" i="1"/>
  <c r="F736" i="1"/>
  <c r="C736" i="1" a="1"/>
  <c r="C736" i="1" s="1"/>
  <c r="M735" i="1"/>
  <c r="M735" i="1" a="1"/>
  <c r="I735" i="1"/>
  <c r="H735" i="1"/>
  <c r="G735" i="1"/>
  <c r="F735" i="1"/>
  <c r="C735" i="1" a="1"/>
  <c r="C735" i="1" s="1"/>
  <c r="M734" i="1" a="1"/>
  <c r="M734" i="1" s="1"/>
  <c r="I734" i="1"/>
  <c r="H734" i="1"/>
  <c r="G734" i="1"/>
  <c r="F734" i="1"/>
  <c r="C734" i="1" a="1"/>
  <c r="C734" i="1" s="1"/>
  <c r="M733" i="1" a="1"/>
  <c r="M733" i="1" s="1"/>
  <c r="I733" i="1"/>
  <c r="H733" i="1"/>
  <c r="G733" i="1"/>
  <c r="F733" i="1"/>
  <c r="C733" i="1" a="1"/>
  <c r="C733" i="1" s="1"/>
  <c r="M732" i="1"/>
  <c r="M732" i="1" a="1"/>
  <c r="I732" i="1"/>
  <c r="H732" i="1"/>
  <c r="G732" i="1"/>
  <c r="F732" i="1"/>
  <c r="C732" i="1" a="1"/>
  <c r="C732" i="1" s="1"/>
  <c r="M731" i="1"/>
  <c r="M731" i="1" a="1"/>
  <c r="I731" i="1"/>
  <c r="H731" i="1"/>
  <c r="G731" i="1"/>
  <c r="F731" i="1"/>
  <c r="C731" i="1" a="1"/>
  <c r="C731" i="1" s="1"/>
  <c r="M730" i="1" a="1"/>
  <c r="M730" i="1" s="1"/>
  <c r="I730" i="1"/>
  <c r="H730" i="1"/>
  <c r="G730" i="1"/>
  <c r="F730" i="1"/>
  <c r="C730" i="1" a="1"/>
  <c r="C730" i="1" s="1"/>
  <c r="M729" i="1" a="1"/>
  <c r="M729" i="1" s="1"/>
  <c r="I729" i="1"/>
  <c r="H729" i="1"/>
  <c r="G729" i="1"/>
  <c r="F729" i="1"/>
  <c r="C729" i="1" a="1"/>
  <c r="C729" i="1" s="1"/>
  <c r="M728" i="1"/>
  <c r="M728" i="1" a="1"/>
  <c r="I728" i="1"/>
  <c r="H728" i="1"/>
  <c r="G728" i="1"/>
  <c r="F728" i="1"/>
  <c r="C728" i="1" a="1"/>
  <c r="C728" i="1" s="1"/>
  <c r="M727" i="1"/>
  <c r="M727" i="1" a="1"/>
  <c r="I727" i="1"/>
  <c r="H727" i="1"/>
  <c r="G727" i="1"/>
  <c r="F727" i="1"/>
  <c r="C727" i="1" a="1"/>
  <c r="C727" i="1" s="1"/>
  <c r="M726" i="1" a="1"/>
  <c r="M726" i="1" s="1"/>
  <c r="I726" i="1"/>
  <c r="H726" i="1"/>
  <c r="G726" i="1"/>
  <c r="F726" i="1"/>
  <c r="C726" i="1" a="1"/>
  <c r="C726" i="1" s="1"/>
  <c r="M725" i="1" a="1"/>
  <c r="M725" i="1" s="1"/>
  <c r="I725" i="1"/>
  <c r="H725" i="1"/>
  <c r="G725" i="1"/>
  <c r="F725" i="1"/>
  <c r="C725" i="1" a="1"/>
  <c r="C725" i="1" s="1"/>
  <c r="M724" i="1"/>
  <c r="M724" i="1" a="1"/>
  <c r="I724" i="1"/>
  <c r="H724" i="1"/>
  <c r="G724" i="1"/>
  <c r="F724" i="1"/>
  <c r="C724" i="1" a="1"/>
  <c r="C724" i="1" s="1"/>
  <c r="M723" i="1"/>
  <c r="M723" i="1" a="1"/>
  <c r="I723" i="1"/>
  <c r="H723" i="1"/>
  <c r="G723" i="1"/>
  <c r="F723" i="1"/>
  <c r="C723" i="1" a="1"/>
  <c r="C723" i="1" s="1"/>
  <c r="M722" i="1" a="1"/>
  <c r="M722" i="1" s="1"/>
  <c r="I722" i="1"/>
  <c r="H722" i="1"/>
  <c r="G722" i="1"/>
  <c r="F722" i="1"/>
  <c r="C722" i="1" a="1"/>
  <c r="C722" i="1" s="1"/>
  <c r="M721" i="1" a="1"/>
  <c r="M721" i="1" s="1"/>
  <c r="I721" i="1"/>
  <c r="H721" i="1"/>
  <c r="G721" i="1"/>
  <c r="F721" i="1"/>
  <c r="C721" i="1" a="1"/>
  <c r="C721" i="1" s="1"/>
  <c r="M720" i="1"/>
  <c r="M720" i="1" a="1"/>
  <c r="I720" i="1"/>
  <c r="H720" i="1"/>
  <c r="G720" i="1"/>
  <c r="F720" i="1"/>
  <c r="C720" i="1" a="1"/>
  <c r="C720" i="1" s="1"/>
  <c r="M719" i="1"/>
  <c r="M719" i="1" a="1"/>
  <c r="I719" i="1"/>
  <c r="H719" i="1"/>
  <c r="G719" i="1"/>
  <c r="F719" i="1"/>
  <c r="C719" i="1" a="1"/>
  <c r="C719" i="1" s="1"/>
  <c r="M718" i="1" a="1"/>
  <c r="M718" i="1" s="1"/>
  <c r="I718" i="1"/>
  <c r="H718" i="1"/>
  <c r="G718" i="1"/>
  <c r="F718" i="1"/>
  <c r="C718" i="1" a="1"/>
  <c r="C718" i="1" s="1"/>
  <c r="M717" i="1"/>
  <c r="M717" i="1" a="1"/>
  <c r="I717" i="1"/>
  <c r="H717" i="1"/>
  <c r="G717" i="1"/>
  <c r="F717" i="1"/>
  <c r="C717" i="1" a="1"/>
  <c r="C717" i="1" s="1"/>
  <c r="M716" i="1"/>
  <c r="M716" i="1" a="1"/>
  <c r="I716" i="1"/>
  <c r="H716" i="1"/>
  <c r="G716" i="1"/>
  <c r="F716" i="1"/>
  <c r="C716" i="1" a="1"/>
  <c r="C716" i="1" s="1"/>
  <c r="M715" i="1"/>
  <c r="M715" i="1" a="1"/>
  <c r="I715" i="1"/>
  <c r="H715" i="1"/>
  <c r="G715" i="1"/>
  <c r="F715" i="1"/>
  <c r="C715" i="1" a="1"/>
  <c r="C715" i="1" s="1"/>
  <c r="M714" i="1" a="1"/>
  <c r="M714" i="1" s="1"/>
  <c r="I714" i="1"/>
  <c r="H714" i="1"/>
  <c r="G714" i="1"/>
  <c r="F714" i="1"/>
  <c r="C714" i="1" a="1"/>
  <c r="C714" i="1" s="1"/>
  <c r="M713" i="1"/>
  <c r="M713" i="1" a="1"/>
  <c r="I713" i="1"/>
  <c r="H713" i="1"/>
  <c r="G713" i="1"/>
  <c r="F713" i="1"/>
  <c r="C713" i="1" a="1"/>
  <c r="C713" i="1" s="1"/>
  <c r="M712" i="1"/>
  <c r="M712" i="1" a="1"/>
  <c r="I712" i="1"/>
  <c r="H712" i="1"/>
  <c r="G712" i="1"/>
  <c r="F712" i="1"/>
  <c r="C712" i="1" a="1"/>
  <c r="C712" i="1" s="1"/>
  <c r="M711" i="1"/>
  <c r="M711" i="1" a="1"/>
  <c r="I711" i="1"/>
  <c r="H711" i="1"/>
  <c r="G711" i="1"/>
  <c r="F711" i="1"/>
  <c r="C711" i="1" a="1"/>
  <c r="C711" i="1" s="1"/>
  <c r="M710" i="1" a="1"/>
  <c r="M710" i="1" s="1"/>
  <c r="I710" i="1"/>
  <c r="H710" i="1"/>
  <c r="G710" i="1"/>
  <c r="F710" i="1"/>
  <c r="C710" i="1" a="1"/>
  <c r="C710" i="1" s="1"/>
  <c r="M709" i="1"/>
  <c r="M709" i="1" a="1"/>
  <c r="I709" i="1"/>
  <c r="H709" i="1"/>
  <c r="G709" i="1"/>
  <c r="F709" i="1"/>
  <c r="C709" i="1" a="1"/>
  <c r="C709" i="1" s="1"/>
  <c r="M708" i="1"/>
  <c r="M708" i="1" a="1"/>
  <c r="I708" i="1"/>
  <c r="H708" i="1"/>
  <c r="G708" i="1"/>
  <c r="F708" i="1"/>
  <c r="C708" i="1" a="1"/>
  <c r="C708" i="1" s="1"/>
  <c r="M707" i="1"/>
  <c r="M707" i="1" a="1"/>
  <c r="I707" i="1"/>
  <c r="H707" i="1"/>
  <c r="G707" i="1"/>
  <c r="F707" i="1"/>
  <c r="C707" i="1" a="1"/>
  <c r="C707" i="1" s="1"/>
  <c r="M706" i="1" a="1"/>
  <c r="M706" i="1" s="1"/>
  <c r="I706" i="1"/>
  <c r="H706" i="1"/>
  <c r="G706" i="1"/>
  <c r="F706" i="1"/>
  <c r="C706" i="1"/>
  <c r="C706" i="1" a="1"/>
  <c r="M705" i="1" a="1"/>
  <c r="M705" i="1" s="1"/>
  <c r="I705" i="1"/>
  <c r="H705" i="1"/>
  <c r="G705" i="1"/>
  <c r="F705" i="1"/>
  <c r="C705" i="1"/>
  <c r="C705" i="1" a="1"/>
  <c r="M704" i="1" a="1"/>
  <c r="M704" i="1" s="1"/>
  <c r="I704" i="1"/>
  <c r="H704" i="1"/>
  <c r="G704" i="1"/>
  <c r="F704" i="1"/>
  <c r="C704" i="1"/>
  <c r="C704" i="1" a="1"/>
  <c r="M703" i="1" a="1"/>
  <c r="M703" i="1" s="1"/>
  <c r="I703" i="1"/>
  <c r="H703" i="1"/>
  <c r="G703" i="1"/>
  <c r="F703" i="1"/>
  <c r="C703" i="1"/>
  <c r="C703" i="1" a="1"/>
  <c r="M702" i="1" a="1"/>
  <c r="M702" i="1" s="1"/>
  <c r="I702" i="1"/>
  <c r="H702" i="1"/>
  <c r="G702" i="1"/>
  <c r="F702" i="1"/>
  <c r="C702" i="1"/>
  <c r="C702" i="1" a="1"/>
  <c r="M701" i="1" a="1"/>
  <c r="M701" i="1" s="1"/>
  <c r="I701" i="1"/>
  <c r="H701" i="1"/>
  <c r="G701" i="1"/>
  <c r="F701" i="1"/>
  <c r="C701" i="1"/>
  <c r="C701" i="1" a="1"/>
  <c r="M700" i="1" a="1"/>
  <c r="M700" i="1" s="1"/>
  <c r="I700" i="1"/>
  <c r="H700" i="1"/>
  <c r="G700" i="1"/>
  <c r="F700" i="1"/>
  <c r="C700" i="1"/>
  <c r="C700" i="1" a="1"/>
  <c r="M699" i="1" a="1"/>
  <c r="M699" i="1" s="1"/>
  <c r="I699" i="1"/>
  <c r="H699" i="1"/>
  <c r="G699" i="1"/>
  <c r="F699" i="1"/>
  <c r="C699" i="1"/>
  <c r="C699" i="1" a="1"/>
  <c r="M698" i="1" a="1"/>
  <c r="M698" i="1" s="1"/>
  <c r="I698" i="1"/>
  <c r="H698" i="1"/>
  <c r="G698" i="1"/>
  <c r="F698" i="1"/>
  <c r="C698" i="1"/>
  <c r="C698" i="1" a="1"/>
  <c r="M697" i="1" a="1"/>
  <c r="M697" i="1" s="1"/>
  <c r="I697" i="1"/>
  <c r="H697" i="1"/>
  <c r="G697" i="1"/>
  <c r="F697" i="1"/>
  <c r="C697" i="1"/>
  <c r="C697" i="1" a="1"/>
  <c r="M696" i="1" a="1"/>
  <c r="M696" i="1" s="1"/>
  <c r="I696" i="1"/>
  <c r="H696" i="1"/>
  <c r="G696" i="1"/>
  <c r="F696" i="1"/>
  <c r="C696" i="1"/>
  <c r="C696" i="1" a="1"/>
  <c r="M695" i="1" a="1"/>
  <c r="M695" i="1" s="1"/>
  <c r="I695" i="1"/>
  <c r="H695" i="1"/>
  <c r="G695" i="1"/>
  <c r="F695" i="1"/>
  <c r="C695" i="1" a="1"/>
  <c r="C695" i="1" s="1"/>
  <c r="M694" i="1" a="1"/>
  <c r="M694" i="1" s="1"/>
  <c r="I694" i="1"/>
  <c r="H694" i="1"/>
  <c r="G694" i="1"/>
  <c r="F694" i="1"/>
  <c r="C694" i="1" a="1"/>
  <c r="C694" i="1" s="1"/>
  <c r="M693" i="1" a="1"/>
  <c r="M693" i="1" s="1"/>
  <c r="I693" i="1"/>
  <c r="H693" i="1"/>
  <c r="G693" i="1"/>
  <c r="F693" i="1"/>
  <c r="C693" i="1" a="1"/>
  <c r="C693" i="1" s="1"/>
  <c r="M692" i="1" a="1"/>
  <c r="M692" i="1" s="1"/>
  <c r="I692" i="1"/>
  <c r="H692" i="1"/>
  <c r="G692" i="1"/>
  <c r="F692" i="1"/>
  <c r="C692" i="1" a="1"/>
  <c r="C692" i="1" s="1"/>
  <c r="M691" i="1" a="1"/>
  <c r="M691" i="1" s="1"/>
  <c r="I691" i="1"/>
  <c r="H691" i="1"/>
  <c r="G691" i="1"/>
  <c r="F691" i="1"/>
  <c r="C691" i="1" a="1"/>
  <c r="C691" i="1" s="1"/>
  <c r="M690" i="1" a="1"/>
  <c r="M690" i="1" s="1"/>
  <c r="I690" i="1"/>
  <c r="H690" i="1"/>
  <c r="G690" i="1"/>
  <c r="F690" i="1"/>
  <c r="C690" i="1" a="1"/>
  <c r="C690" i="1" s="1"/>
  <c r="M689" i="1" a="1"/>
  <c r="M689" i="1" s="1"/>
  <c r="I689" i="1"/>
  <c r="H689" i="1"/>
  <c r="G689" i="1"/>
  <c r="F689" i="1"/>
  <c r="C689" i="1" a="1"/>
  <c r="C689" i="1" s="1"/>
  <c r="M688" i="1" a="1"/>
  <c r="M688" i="1" s="1"/>
  <c r="I688" i="1"/>
  <c r="H688" i="1"/>
  <c r="G688" i="1"/>
  <c r="F688" i="1"/>
  <c r="C688" i="1" a="1"/>
  <c r="C688" i="1" s="1"/>
  <c r="M687" i="1" a="1"/>
  <c r="M687" i="1" s="1"/>
  <c r="I687" i="1"/>
  <c r="H687" i="1"/>
  <c r="G687" i="1"/>
  <c r="F687" i="1"/>
  <c r="C687" i="1" a="1"/>
  <c r="C687" i="1" s="1"/>
  <c r="M686" i="1" a="1"/>
  <c r="M686" i="1" s="1"/>
  <c r="I686" i="1"/>
  <c r="H686" i="1"/>
  <c r="G686" i="1"/>
  <c r="F686" i="1"/>
  <c r="C686" i="1" a="1"/>
  <c r="C686" i="1" s="1"/>
  <c r="M685" i="1" a="1"/>
  <c r="M685" i="1" s="1"/>
  <c r="I685" i="1"/>
  <c r="H685" i="1"/>
  <c r="G685" i="1"/>
  <c r="F685" i="1"/>
  <c r="C685" i="1" a="1"/>
  <c r="C685" i="1" s="1"/>
  <c r="M684" i="1" a="1"/>
  <c r="M684" i="1" s="1"/>
  <c r="I684" i="1"/>
  <c r="H684" i="1"/>
  <c r="G684" i="1"/>
  <c r="F684" i="1"/>
  <c r="C684" i="1" a="1"/>
  <c r="C684" i="1" s="1"/>
  <c r="M683" i="1" a="1"/>
  <c r="M683" i="1" s="1"/>
  <c r="I683" i="1"/>
  <c r="H683" i="1"/>
  <c r="G683" i="1"/>
  <c r="F683" i="1"/>
  <c r="C683" i="1" a="1"/>
  <c r="C683" i="1" s="1"/>
  <c r="M682" i="1" a="1"/>
  <c r="M682" i="1" s="1"/>
  <c r="I682" i="1"/>
  <c r="H682" i="1"/>
  <c r="G682" i="1"/>
  <c r="F682" i="1"/>
  <c r="C682" i="1" a="1"/>
  <c r="C682" i="1" s="1"/>
  <c r="M681" i="1" a="1"/>
  <c r="M681" i="1" s="1"/>
  <c r="I681" i="1"/>
  <c r="H681" i="1"/>
  <c r="G681" i="1"/>
  <c r="F681" i="1"/>
  <c r="C681" i="1" a="1"/>
  <c r="C681" i="1" s="1"/>
  <c r="M680" i="1" a="1"/>
  <c r="M680" i="1" s="1"/>
  <c r="I680" i="1"/>
  <c r="H680" i="1"/>
  <c r="G680" i="1"/>
  <c r="F680" i="1"/>
  <c r="C680" i="1" a="1"/>
  <c r="C680" i="1" s="1"/>
  <c r="M679" i="1" a="1"/>
  <c r="M679" i="1" s="1"/>
  <c r="I679" i="1"/>
  <c r="H679" i="1"/>
  <c r="G679" i="1"/>
  <c r="F679" i="1"/>
  <c r="C679" i="1" a="1"/>
  <c r="C679" i="1" s="1"/>
  <c r="M678" i="1" a="1"/>
  <c r="M678" i="1" s="1"/>
  <c r="I678" i="1"/>
  <c r="H678" i="1"/>
  <c r="G678" i="1"/>
  <c r="F678" i="1"/>
  <c r="C678" i="1" a="1"/>
  <c r="C678" i="1" s="1"/>
  <c r="M677" i="1" a="1"/>
  <c r="M677" i="1" s="1"/>
  <c r="I677" i="1"/>
  <c r="H677" i="1"/>
  <c r="G677" i="1"/>
  <c r="F677" i="1"/>
  <c r="C677" i="1" a="1"/>
  <c r="C677" i="1" s="1"/>
  <c r="M676" i="1" a="1"/>
  <c r="M676" i="1" s="1"/>
  <c r="I676" i="1"/>
  <c r="H676" i="1"/>
  <c r="G676" i="1"/>
  <c r="F676" i="1"/>
  <c r="C676" i="1" a="1"/>
  <c r="C676" i="1" s="1"/>
  <c r="M675" i="1" a="1"/>
  <c r="M675" i="1" s="1"/>
  <c r="I675" i="1"/>
  <c r="H675" i="1"/>
  <c r="G675" i="1"/>
  <c r="F675" i="1"/>
  <c r="C675" i="1" a="1"/>
  <c r="C675" i="1" s="1"/>
  <c r="M674" i="1" a="1"/>
  <c r="M674" i="1" s="1"/>
  <c r="I674" i="1"/>
  <c r="H674" i="1"/>
  <c r="G674" i="1"/>
  <c r="F674" i="1"/>
  <c r="C674" i="1" a="1"/>
  <c r="C674" i="1" s="1"/>
  <c r="M673" i="1" a="1"/>
  <c r="M673" i="1" s="1"/>
  <c r="I673" i="1"/>
  <c r="H673" i="1"/>
  <c r="G673" i="1"/>
  <c r="F673" i="1"/>
  <c r="C673" i="1" a="1"/>
  <c r="C673" i="1" s="1"/>
  <c r="M672" i="1" a="1"/>
  <c r="M672" i="1" s="1"/>
  <c r="I672" i="1"/>
  <c r="H672" i="1"/>
  <c r="G672" i="1"/>
  <c r="F672" i="1"/>
  <c r="C672" i="1" a="1"/>
  <c r="C672" i="1" s="1"/>
  <c r="M671" i="1" a="1"/>
  <c r="M671" i="1" s="1"/>
  <c r="I671" i="1"/>
  <c r="H671" i="1"/>
  <c r="G671" i="1"/>
  <c r="F671" i="1"/>
  <c r="C671" i="1" a="1"/>
  <c r="C671" i="1" s="1"/>
  <c r="M670" i="1" a="1"/>
  <c r="M670" i="1" s="1"/>
  <c r="I670" i="1"/>
  <c r="H670" i="1"/>
  <c r="G670" i="1"/>
  <c r="F670" i="1"/>
  <c r="C670" i="1" a="1"/>
  <c r="C670" i="1" s="1"/>
  <c r="M669" i="1" a="1"/>
  <c r="M669" i="1" s="1"/>
  <c r="I669" i="1"/>
  <c r="H669" i="1"/>
  <c r="G669" i="1"/>
  <c r="F669" i="1"/>
  <c r="C669" i="1" a="1"/>
  <c r="C669" i="1" s="1"/>
  <c r="M668" i="1" a="1"/>
  <c r="M668" i="1" s="1"/>
  <c r="I668" i="1"/>
  <c r="H668" i="1"/>
  <c r="G668" i="1"/>
  <c r="F668" i="1"/>
  <c r="C668" i="1" a="1"/>
  <c r="C668" i="1" s="1"/>
  <c r="M667" i="1" a="1"/>
  <c r="M667" i="1" s="1"/>
  <c r="I667" i="1"/>
  <c r="H667" i="1"/>
  <c r="G667" i="1"/>
  <c r="F667" i="1"/>
  <c r="C667" i="1" a="1"/>
  <c r="C667" i="1" s="1"/>
  <c r="M666" i="1" a="1"/>
  <c r="M666" i="1" s="1"/>
  <c r="I666" i="1"/>
  <c r="H666" i="1"/>
  <c r="G666" i="1"/>
  <c r="F666" i="1"/>
  <c r="C666" i="1" a="1"/>
  <c r="C666" i="1" s="1"/>
  <c r="M665" i="1" a="1"/>
  <c r="M665" i="1" s="1"/>
  <c r="I665" i="1"/>
  <c r="H665" i="1"/>
  <c r="G665" i="1"/>
  <c r="F665" i="1"/>
  <c r="C665" i="1" a="1"/>
  <c r="C665" i="1" s="1"/>
  <c r="M664" i="1" a="1"/>
  <c r="M664" i="1" s="1"/>
  <c r="I664" i="1"/>
  <c r="H664" i="1"/>
  <c r="G664" i="1"/>
  <c r="F664" i="1"/>
  <c r="C664" i="1" a="1"/>
  <c r="C664" i="1" s="1"/>
  <c r="M663" i="1" a="1"/>
  <c r="M663" i="1" s="1"/>
  <c r="I663" i="1"/>
  <c r="H663" i="1"/>
  <c r="G663" i="1"/>
  <c r="F663" i="1"/>
  <c r="C663" i="1" a="1"/>
  <c r="C663" i="1" s="1"/>
  <c r="M662" i="1" a="1"/>
  <c r="M662" i="1" s="1"/>
  <c r="I662" i="1"/>
  <c r="H662" i="1"/>
  <c r="G662" i="1"/>
  <c r="F662" i="1"/>
  <c r="C662" i="1" a="1"/>
  <c r="C662" i="1" s="1"/>
  <c r="M661" i="1" a="1"/>
  <c r="M661" i="1" s="1"/>
  <c r="I661" i="1"/>
  <c r="H661" i="1"/>
  <c r="G661" i="1"/>
  <c r="F661" i="1"/>
  <c r="C661" i="1" a="1"/>
  <c r="C661" i="1" s="1"/>
  <c r="M660" i="1" a="1"/>
  <c r="M660" i="1" s="1"/>
  <c r="I660" i="1"/>
  <c r="H660" i="1"/>
  <c r="G660" i="1"/>
  <c r="F660" i="1"/>
  <c r="C660" i="1" a="1"/>
  <c r="C660" i="1" s="1"/>
  <c r="M659" i="1" a="1"/>
  <c r="M659" i="1" s="1"/>
  <c r="I659" i="1"/>
  <c r="H659" i="1"/>
  <c r="G659" i="1"/>
  <c r="F659" i="1"/>
  <c r="C659" i="1" a="1"/>
  <c r="C659" i="1" s="1"/>
  <c r="M658" i="1" a="1"/>
  <c r="M658" i="1" s="1"/>
  <c r="I658" i="1"/>
  <c r="H658" i="1"/>
  <c r="G658" i="1"/>
  <c r="F658" i="1"/>
  <c r="C658" i="1" a="1"/>
  <c r="C658" i="1" s="1"/>
  <c r="M657" i="1" a="1"/>
  <c r="M657" i="1" s="1"/>
  <c r="I657" i="1"/>
  <c r="H657" i="1"/>
  <c r="G657" i="1"/>
  <c r="F657" i="1"/>
  <c r="C657" i="1" a="1"/>
  <c r="C657" i="1" s="1"/>
  <c r="M656" i="1" a="1"/>
  <c r="M656" i="1" s="1"/>
  <c r="I656" i="1"/>
  <c r="H656" i="1"/>
  <c r="G656" i="1"/>
  <c r="F656" i="1"/>
  <c r="C656" i="1" a="1"/>
  <c r="C656" i="1" s="1"/>
  <c r="M655" i="1" a="1"/>
  <c r="M655" i="1" s="1"/>
  <c r="I655" i="1"/>
  <c r="H655" i="1"/>
  <c r="G655" i="1"/>
  <c r="F655" i="1"/>
  <c r="C655" i="1" a="1"/>
  <c r="C655" i="1" s="1"/>
  <c r="M654" i="1" a="1"/>
  <c r="M654" i="1" s="1"/>
  <c r="I654" i="1"/>
  <c r="H654" i="1"/>
  <c r="G654" i="1"/>
  <c r="F654" i="1"/>
  <c r="C654" i="1" a="1"/>
  <c r="C654" i="1" s="1"/>
  <c r="M653" i="1" a="1"/>
  <c r="M653" i="1" s="1"/>
  <c r="I653" i="1"/>
  <c r="H653" i="1"/>
  <c r="G653" i="1"/>
  <c r="F653" i="1"/>
  <c r="C653" i="1" a="1"/>
  <c r="C653" i="1" s="1"/>
  <c r="M652" i="1" a="1"/>
  <c r="M652" i="1" s="1"/>
  <c r="I652" i="1"/>
  <c r="H652" i="1"/>
  <c r="G652" i="1"/>
  <c r="F652" i="1"/>
  <c r="C652" i="1" a="1"/>
  <c r="C652" i="1" s="1"/>
  <c r="M651" i="1" a="1"/>
  <c r="M651" i="1" s="1"/>
  <c r="I651" i="1"/>
  <c r="H651" i="1"/>
  <c r="G651" i="1"/>
  <c r="F651" i="1"/>
  <c r="C651" i="1" a="1"/>
  <c r="C651" i="1" s="1"/>
  <c r="M650" i="1" a="1"/>
  <c r="M650" i="1" s="1"/>
  <c r="I650" i="1"/>
  <c r="H650" i="1"/>
  <c r="G650" i="1"/>
  <c r="F650" i="1"/>
  <c r="C650" i="1" a="1"/>
  <c r="C650" i="1" s="1"/>
  <c r="M649" i="1" a="1"/>
  <c r="M649" i="1" s="1"/>
  <c r="I649" i="1"/>
  <c r="H649" i="1"/>
  <c r="G649" i="1"/>
  <c r="F649" i="1"/>
  <c r="C649" i="1" a="1"/>
  <c r="C649" i="1" s="1"/>
  <c r="M648" i="1" a="1"/>
  <c r="M648" i="1" s="1"/>
  <c r="I648" i="1"/>
  <c r="H648" i="1"/>
  <c r="G648" i="1"/>
  <c r="F648" i="1"/>
  <c r="C648" i="1" a="1"/>
  <c r="C648" i="1" s="1"/>
  <c r="M647" i="1" a="1"/>
  <c r="M647" i="1" s="1"/>
  <c r="I647" i="1"/>
  <c r="H647" i="1"/>
  <c r="G647" i="1"/>
  <c r="F647" i="1"/>
  <c r="C647" i="1" a="1"/>
  <c r="C647" i="1" s="1"/>
  <c r="M646" i="1" a="1"/>
  <c r="M646" i="1" s="1"/>
  <c r="I646" i="1"/>
  <c r="H646" i="1"/>
  <c r="G646" i="1"/>
  <c r="F646" i="1"/>
  <c r="C646" i="1" a="1"/>
  <c r="C646" i="1" s="1"/>
  <c r="M645" i="1" a="1"/>
  <c r="M645" i="1" s="1"/>
  <c r="I645" i="1"/>
  <c r="H645" i="1"/>
  <c r="G645" i="1"/>
  <c r="F645" i="1"/>
  <c r="C645" i="1" a="1"/>
  <c r="C645" i="1" s="1"/>
  <c r="M644" i="1" a="1"/>
  <c r="M644" i="1" s="1"/>
  <c r="I644" i="1"/>
  <c r="H644" i="1"/>
  <c r="G644" i="1"/>
  <c r="F644" i="1"/>
  <c r="C644" i="1" a="1"/>
  <c r="C644" i="1" s="1"/>
  <c r="M643" i="1" a="1"/>
  <c r="M643" i="1" s="1"/>
  <c r="I643" i="1"/>
  <c r="H643" i="1"/>
  <c r="G643" i="1"/>
  <c r="F643" i="1"/>
  <c r="C643" i="1" a="1"/>
  <c r="C643" i="1" s="1"/>
  <c r="M642" i="1" a="1"/>
  <c r="M642" i="1" s="1"/>
  <c r="I642" i="1"/>
  <c r="H642" i="1"/>
  <c r="G642" i="1"/>
  <c r="F642" i="1"/>
  <c r="C642" i="1" a="1"/>
  <c r="C642" i="1" s="1"/>
  <c r="M641" i="1" a="1"/>
  <c r="M641" i="1" s="1"/>
  <c r="I641" i="1"/>
  <c r="H641" i="1"/>
  <c r="G641" i="1"/>
  <c r="F641" i="1"/>
  <c r="C641" i="1" a="1"/>
  <c r="C641" i="1" s="1"/>
  <c r="M640" i="1" a="1"/>
  <c r="M640" i="1" s="1"/>
  <c r="I640" i="1"/>
  <c r="H640" i="1"/>
  <c r="G640" i="1"/>
  <c r="F640" i="1"/>
  <c r="C640" i="1" a="1"/>
  <c r="C640" i="1" s="1"/>
  <c r="M639" i="1" a="1"/>
  <c r="M639" i="1" s="1"/>
  <c r="I639" i="1"/>
  <c r="H639" i="1"/>
  <c r="G639" i="1"/>
  <c r="F639" i="1"/>
  <c r="C639" i="1" a="1"/>
  <c r="C639" i="1" s="1"/>
  <c r="M638" i="1" a="1"/>
  <c r="M638" i="1" s="1"/>
  <c r="I638" i="1"/>
  <c r="H638" i="1"/>
  <c r="G638" i="1"/>
  <c r="F638" i="1"/>
  <c r="C638" i="1" a="1"/>
  <c r="C638" i="1" s="1"/>
  <c r="M637" i="1" a="1"/>
  <c r="M637" i="1" s="1"/>
  <c r="I637" i="1"/>
  <c r="H637" i="1"/>
  <c r="G637" i="1"/>
  <c r="F637" i="1"/>
  <c r="C637" i="1" a="1"/>
  <c r="C637" i="1" s="1"/>
  <c r="M636" i="1" a="1"/>
  <c r="M636" i="1" s="1"/>
  <c r="I636" i="1"/>
  <c r="H636" i="1"/>
  <c r="G636" i="1"/>
  <c r="F636" i="1"/>
  <c r="C636" i="1" a="1"/>
  <c r="C636" i="1" s="1"/>
  <c r="M635" i="1" a="1"/>
  <c r="M635" i="1" s="1"/>
  <c r="I635" i="1"/>
  <c r="H635" i="1"/>
  <c r="G635" i="1"/>
  <c r="F635" i="1"/>
  <c r="C635" i="1" a="1"/>
  <c r="C635" i="1" s="1"/>
  <c r="M634" i="1" a="1"/>
  <c r="M634" i="1" s="1"/>
  <c r="I634" i="1"/>
  <c r="H634" i="1"/>
  <c r="G634" i="1"/>
  <c r="F634" i="1"/>
  <c r="C634" i="1" a="1"/>
  <c r="C634" i="1" s="1"/>
  <c r="M633" i="1" a="1"/>
  <c r="M633" i="1" s="1"/>
  <c r="I633" i="1"/>
  <c r="H633" i="1"/>
  <c r="G633" i="1"/>
  <c r="F633" i="1"/>
  <c r="C633" i="1" a="1"/>
  <c r="C633" i="1" s="1"/>
  <c r="M632" i="1" a="1"/>
  <c r="M632" i="1" s="1"/>
  <c r="I632" i="1"/>
  <c r="H632" i="1"/>
  <c r="G632" i="1"/>
  <c r="F632" i="1"/>
  <c r="C632" i="1" a="1"/>
  <c r="C632" i="1" s="1"/>
  <c r="M631" i="1" a="1"/>
  <c r="M631" i="1" s="1"/>
  <c r="I631" i="1"/>
  <c r="H631" i="1"/>
  <c r="G631" i="1"/>
  <c r="F631" i="1"/>
  <c r="C631" i="1" a="1"/>
  <c r="C631" i="1" s="1"/>
  <c r="M630" i="1" a="1"/>
  <c r="M630" i="1" s="1"/>
  <c r="I630" i="1"/>
  <c r="H630" i="1"/>
  <c r="G630" i="1"/>
  <c r="F630" i="1"/>
  <c r="C630" i="1" a="1"/>
  <c r="C630" i="1" s="1"/>
  <c r="M629" i="1" a="1"/>
  <c r="M629" i="1" s="1"/>
  <c r="I629" i="1"/>
  <c r="H629" i="1"/>
  <c r="G629" i="1"/>
  <c r="F629" i="1"/>
  <c r="C629" i="1" a="1"/>
  <c r="C629" i="1" s="1"/>
  <c r="M628" i="1" a="1"/>
  <c r="M628" i="1" s="1"/>
  <c r="I628" i="1"/>
  <c r="H628" i="1"/>
  <c r="G628" i="1"/>
  <c r="F628" i="1"/>
  <c r="C628" i="1" a="1"/>
  <c r="C628" i="1" s="1"/>
  <c r="M627" i="1" a="1"/>
  <c r="M627" i="1" s="1"/>
  <c r="I627" i="1"/>
  <c r="H627" i="1"/>
  <c r="G627" i="1"/>
  <c r="F627" i="1"/>
  <c r="C627" i="1" a="1"/>
  <c r="C627" i="1" s="1"/>
  <c r="M626" i="1" a="1"/>
  <c r="M626" i="1" s="1"/>
  <c r="I626" i="1"/>
  <c r="H626" i="1"/>
  <c r="G626" i="1"/>
  <c r="F626" i="1"/>
  <c r="C626" i="1" a="1"/>
  <c r="C626" i="1" s="1"/>
  <c r="M625" i="1" a="1"/>
  <c r="M625" i="1" s="1"/>
  <c r="I625" i="1"/>
  <c r="H625" i="1"/>
  <c r="G625" i="1"/>
  <c r="F625" i="1"/>
  <c r="C625" i="1" a="1"/>
  <c r="C625" i="1" s="1"/>
  <c r="M624" i="1" a="1"/>
  <c r="M624" i="1" s="1"/>
  <c r="I624" i="1"/>
  <c r="H624" i="1"/>
  <c r="G624" i="1"/>
  <c r="F624" i="1"/>
  <c r="C624" i="1" a="1"/>
  <c r="C624" i="1" s="1"/>
  <c r="M623" i="1" a="1"/>
  <c r="M623" i="1" s="1"/>
  <c r="I623" i="1"/>
  <c r="H623" i="1"/>
  <c r="G623" i="1"/>
  <c r="F623" i="1"/>
  <c r="C623" i="1" a="1"/>
  <c r="C623" i="1" s="1"/>
  <c r="M622" i="1" a="1"/>
  <c r="M622" i="1" s="1"/>
  <c r="I622" i="1"/>
  <c r="H622" i="1"/>
  <c r="G622" i="1"/>
  <c r="F622" i="1"/>
  <c r="C622" i="1" a="1"/>
  <c r="C622" i="1" s="1"/>
  <c r="M621" i="1" a="1"/>
  <c r="M621" i="1" s="1"/>
  <c r="I621" i="1"/>
  <c r="H621" i="1"/>
  <c r="G621" i="1"/>
  <c r="F621" i="1"/>
  <c r="C621" i="1" a="1"/>
  <c r="C621" i="1" s="1"/>
  <c r="M620" i="1" a="1"/>
  <c r="M620" i="1" s="1"/>
  <c r="I620" i="1"/>
  <c r="H620" i="1"/>
  <c r="G620" i="1"/>
  <c r="F620" i="1"/>
  <c r="C620" i="1" a="1"/>
  <c r="C620" i="1" s="1"/>
  <c r="M619" i="1" a="1"/>
  <c r="M619" i="1" s="1"/>
  <c r="I619" i="1"/>
  <c r="H619" i="1"/>
  <c r="G619" i="1"/>
  <c r="F619" i="1"/>
  <c r="C619" i="1" a="1"/>
  <c r="C619" i="1" s="1"/>
  <c r="M618" i="1" a="1"/>
  <c r="M618" i="1" s="1"/>
  <c r="I618" i="1"/>
  <c r="H618" i="1"/>
  <c r="G618" i="1"/>
  <c r="F618" i="1"/>
  <c r="C618" i="1" a="1"/>
  <c r="C618" i="1" s="1"/>
  <c r="M617" i="1" a="1"/>
  <c r="M617" i="1" s="1"/>
  <c r="I617" i="1"/>
  <c r="H617" i="1"/>
  <c r="G617" i="1"/>
  <c r="F617" i="1"/>
  <c r="C617" i="1" a="1"/>
  <c r="C617" i="1" s="1"/>
  <c r="M616" i="1" a="1"/>
  <c r="M616" i="1" s="1"/>
  <c r="I616" i="1"/>
  <c r="H616" i="1"/>
  <c r="G616" i="1"/>
  <c r="F616" i="1"/>
  <c r="C616" i="1" a="1"/>
  <c r="C616" i="1" s="1"/>
  <c r="M615" i="1" a="1"/>
  <c r="M615" i="1" s="1"/>
  <c r="I615" i="1"/>
  <c r="H615" i="1"/>
  <c r="G615" i="1"/>
  <c r="F615" i="1"/>
  <c r="C615" i="1" a="1"/>
  <c r="C615" i="1" s="1"/>
  <c r="M614" i="1" a="1"/>
  <c r="M614" i="1" s="1"/>
  <c r="I614" i="1"/>
  <c r="H614" i="1"/>
  <c r="G614" i="1"/>
  <c r="F614" i="1"/>
  <c r="C614" i="1" a="1"/>
  <c r="C614" i="1" s="1"/>
  <c r="M613" i="1" a="1"/>
  <c r="M613" i="1" s="1"/>
  <c r="I613" i="1"/>
  <c r="H613" i="1"/>
  <c r="G613" i="1"/>
  <c r="F613" i="1"/>
  <c r="C613" i="1" a="1"/>
  <c r="C613" i="1" s="1"/>
  <c r="M612" i="1" a="1"/>
  <c r="M612" i="1" s="1"/>
  <c r="I612" i="1"/>
  <c r="H612" i="1"/>
  <c r="G612" i="1"/>
  <c r="F612" i="1"/>
  <c r="C612" i="1" a="1"/>
  <c r="C612" i="1" s="1"/>
  <c r="M611" i="1" a="1"/>
  <c r="M611" i="1" s="1"/>
  <c r="I611" i="1"/>
  <c r="H611" i="1"/>
  <c r="G611" i="1"/>
  <c r="F611" i="1"/>
  <c r="C611" i="1" a="1"/>
  <c r="C611" i="1" s="1"/>
  <c r="M610" i="1" a="1"/>
  <c r="M610" i="1" s="1"/>
  <c r="I610" i="1"/>
  <c r="H610" i="1"/>
  <c r="G610" i="1"/>
  <c r="F610" i="1"/>
  <c r="C610" i="1" a="1"/>
  <c r="C610" i="1" s="1"/>
  <c r="M609" i="1" a="1"/>
  <c r="M609" i="1" s="1"/>
  <c r="I609" i="1"/>
  <c r="H609" i="1"/>
  <c r="G609" i="1"/>
  <c r="F609" i="1"/>
  <c r="C609" i="1" a="1"/>
  <c r="C609" i="1" s="1"/>
  <c r="M608" i="1" a="1"/>
  <c r="M608" i="1" s="1"/>
  <c r="I608" i="1"/>
  <c r="H608" i="1"/>
  <c r="G608" i="1"/>
  <c r="F608" i="1"/>
  <c r="C608" i="1" a="1"/>
  <c r="C608" i="1" s="1"/>
  <c r="M607" i="1" a="1"/>
  <c r="M607" i="1" s="1"/>
  <c r="I607" i="1"/>
  <c r="H607" i="1"/>
  <c r="G607" i="1"/>
  <c r="F607" i="1"/>
  <c r="C607" i="1" a="1"/>
  <c r="C607" i="1" s="1"/>
  <c r="M606" i="1" a="1"/>
  <c r="M606" i="1" s="1"/>
  <c r="I606" i="1"/>
  <c r="H606" i="1"/>
  <c r="G606" i="1"/>
  <c r="F606" i="1"/>
  <c r="C606" i="1" a="1"/>
  <c r="C606" i="1" s="1"/>
  <c r="M605" i="1" a="1"/>
  <c r="M605" i="1" s="1"/>
  <c r="I605" i="1"/>
  <c r="H605" i="1"/>
  <c r="G605" i="1"/>
  <c r="F605" i="1"/>
  <c r="C605" i="1" a="1"/>
  <c r="C605" i="1" s="1"/>
  <c r="M604" i="1" a="1"/>
  <c r="M604" i="1" s="1"/>
  <c r="I604" i="1"/>
  <c r="H604" i="1"/>
  <c r="G604" i="1"/>
  <c r="F604" i="1"/>
  <c r="C604" i="1" a="1"/>
  <c r="C604" i="1" s="1"/>
  <c r="M603" i="1" a="1"/>
  <c r="M603" i="1" s="1"/>
  <c r="I603" i="1"/>
  <c r="H603" i="1"/>
  <c r="G603" i="1"/>
  <c r="F603" i="1"/>
  <c r="C603" i="1" a="1"/>
  <c r="C603" i="1" s="1"/>
  <c r="M602" i="1" a="1"/>
  <c r="M602" i="1" s="1"/>
  <c r="I602" i="1"/>
  <c r="H602" i="1"/>
  <c r="G602" i="1"/>
  <c r="F602" i="1"/>
  <c r="C602" i="1" a="1"/>
  <c r="C602" i="1" s="1"/>
  <c r="M601" i="1" a="1"/>
  <c r="M601" i="1" s="1"/>
  <c r="I601" i="1"/>
  <c r="H601" i="1"/>
  <c r="G601" i="1"/>
  <c r="F601" i="1"/>
  <c r="C601" i="1" a="1"/>
  <c r="C601" i="1" s="1"/>
  <c r="M600" i="1" a="1"/>
  <c r="M600" i="1" s="1"/>
  <c r="I600" i="1"/>
  <c r="H600" i="1"/>
  <c r="G600" i="1"/>
  <c r="F600" i="1"/>
  <c r="C600" i="1" a="1"/>
  <c r="C600" i="1" s="1"/>
  <c r="M599" i="1" a="1"/>
  <c r="M599" i="1" s="1"/>
  <c r="I599" i="1"/>
  <c r="H599" i="1"/>
  <c r="G599" i="1"/>
  <c r="F599" i="1"/>
  <c r="C599" i="1" a="1"/>
  <c r="C599" i="1" s="1"/>
  <c r="M598" i="1" a="1"/>
  <c r="M598" i="1" s="1"/>
  <c r="I598" i="1"/>
  <c r="H598" i="1"/>
  <c r="G598" i="1"/>
  <c r="F598" i="1"/>
  <c r="C598" i="1" a="1"/>
  <c r="C598" i="1" s="1"/>
  <c r="M597" i="1" a="1"/>
  <c r="M597" i="1" s="1"/>
  <c r="I597" i="1"/>
  <c r="H597" i="1"/>
  <c r="G597" i="1"/>
  <c r="F597" i="1"/>
  <c r="C597" i="1" a="1"/>
  <c r="C597" i="1" s="1"/>
  <c r="M596" i="1" a="1"/>
  <c r="M596" i="1" s="1"/>
  <c r="I596" i="1"/>
  <c r="H596" i="1"/>
  <c r="G596" i="1"/>
  <c r="F596" i="1"/>
  <c r="C596" i="1" a="1"/>
  <c r="C596" i="1" s="1"/>
  <c r="M595" i="1" a="1"/>
  <c r="M595" i="1" s="1"/>
  <c r="I595" i="1"/>
  <c r="H595" i="1"/>
  <c r="G595" i="1"/>
  <c r="F595" i="1"/>
  <c r="C595" i="1" a="1"/>
  <c r="C595" i="1" s="1"/>
  <c r="M594" i="1" a="1"/>
  <c r="M594" i="1" s="1"/>
  <c r="I594" i="1"/>
  <c r="H594" i="1"/>
  <c r="G594" i="1"/>
  <c r="F594" i="1"/>
  <c r="C594" i="1" a="1"/>
  <c r="C594" i="1" s="1"/>
  <c r="M593" i="1" a="1"/>
  <c r="M593" i="1" s="1"/>
  <c r="I593" i="1"/>
  <c r="H593" i="1"/>
  <c r="G593" i="1"/>
  <c r="F593" i="1"/>
  <c r="C593" i="1" a="1"/>
  <c r="C593" i="1" s="1"/>
  <c r="M592" i="1" a="1"/>
  <c r="M592" i="1" s="1"/>
  <c r="I592" i="1"/>
  <c r="H592" i="1"/>
  <c r="G592" i="1"/>
  <c r="F592" i="1"/>
  <c r="C592" i="1" a="1"/>
  <c r="C592" i="1" s="1"/>
  <c r="M591" i="1" a="1"/>
  <c r="M591" i="1" s="1"/>
  <c r="I591" i="1"/>
  <c r="H591" i="1"/>
  <c r="G591" i="1"/>
  <c r="F591" i="1"/>
  <c r="C591" i="1" a="1"/>
  <c r="C591" i="1" s="1"/>
  <c r="M590" i="1" a="1"/>
  <c r="M590" i="1" s="1"/>
  <c r="I590" i="1"/>
  <c r="H590" i="1"/>
  <c r="G590" i="1"/>
  <c r="F590" i="1"/>
  <c r="C590" i="1" a="1"/>
  <c r="C590" i="1" s="1"/>
  <c r="M589" i="1" a="1"/>
  <c r="M589" i="1" s="1"/>
  <c r="I589" i="1"/>
  <c r="H589" i="1"/>
  <c r="G589" i="1"/>
  <c r="F589" i="1"/>
  <c r="C589" i="1" a="1"/>
  <c r="C589" i="1" s="1"/>
  <c r="M588" i="1" a="1"/>
  <c r="M588" i="1" s="1"/>
  <c r="I588" i="1"/>
  <c r="H588" i="1"/>
  <c r="G588" i="1"/>
  <c r="F588" i="1"/>
  <c r="C588" i="1" a="1"/>
  <c r="C588" i="1" s="1"/>
  <c r="M587" i="1" a="1"/>
  <c r="M587" i="1" s="1"/>
  <c r="I587" i="1"/>
  <c r="H587" i="1"/>
  <c r="G587" i="1"/>
  <c r="F587" i="1"/>
  <c r="C587" i="1" a="1"/>
  <c r="C587" i="1" s="1"/>
  <c r="M586" i="1" a="1"/>
  <c r="M586" i="1" s="1"/>
  <c r="I586" i="1"/>
  <c r="H586" i="1"/>
  <c r="G586" i="1"/>
  <c r="F586" i="1"/>
  <c r="C586" i="1" a="1"/>
  <c r="C586" i="1" s="1"/>
  <c r="M585" i="1" a="1"/>
  <c r="M585" i="1" s="1"/>
  <c r="I585" i="1"/>
  <c r="H585" i="1"/>
  <c r="G585" i="1"/>
  <c r="F585" i="1"/>
  <c r="C585" i="1" a="1"/>
  <c r="C585" i="1" s="1"/>
  <c r="M584" i="1" a="1"/>
  <c r="M584" i="1" s="1"/>
  <c r="I584" i="1"/>
  <c r="H584" i="1"/>
  <c r="G584" i="1"/>
  <c r="F584" i="1"/>
  <c r="C584" i="1" a="1"/>
  <c r="C584" i="1" s="1"/>
  <c r="M583" i="1" a="1"/>
  <c r="M583" i="1" s="1"/>
  <c r="I583" i="1"/>
  <c r="H583" i="1"/>
  <c r="G583" i="1"/>
  <c r="F583" i="1"/>
  <c r="C583" i="1" a="1"/>
  <c r="C583" i="1" s="1"/>
  <c r="M582" i="1" a="1"/>
  <c r="M582" i="1" s="1"/>
  <c r="I582" i="1"/>
  <c r="H582" i="1"/>
  <c r="G582" i="1"/>
  <c r="F582" i="1"/>
  <c r="C582" i="1" a="1"/>
  <c r="C582" i="1" s="1"/>
  <c r="M581" i="1" a="1"/>
  <c r="M581" i="1" s="1"/>
  <c r="I581" i="1"/>
  <c r="H581" i="1"/>
  <c r="G581" i="1"/>
  <c r="F581" i="1"/>
  <c r="C581" i="1" a="1"/>
  <c r="C581" i="1" s="1"/>
  <c r="M580" i="1" a="1"/>
  <c r="M580" i="1" s="1"/>
  <c r="I580" i="1"/>
  <c r="H580" i="1"/>
  <c r="G580" i="1"/>
  <c r="F580" i="1"/>
  <c r="C580" i="1"/>
  <c r="C580" i="1" a="1"/>
  <c r="M579" i="1" a="1"/>
  <c r="M579" i="1" s="1"/>
  <c r="I579" i="1"/>
  <c r="H579" i="1"/>
  <c r="G579" i="1"/>
  <c r="F579" i="1"/>
  <c r="C579" i="1" a="1"/>
  <c r="C579" i="1" s="1"/>
  <c r="M578" i="1" a="1"/>
  <c r="M578" i="1" s="1"/>
  <c r="I578" i="1"/>
  <c r="H578" i="1"/>
  <c r="G578" i="1"/>
  <c r="F578" i="1"/>
  <c r="C578" i="1"/>
  <c r="C578" i="1" a="1"/>
  <c r="M577" i="1" a="1"/>
  <c r="M577" i="1" s="1"/>
  <c r="I577" i="1"/>
  <c r="H577" i="1"/>
  <c r="G577" i="1"/>
  <c r="F577" i="1"/>
  <c r="C577" i="1"/>
  <c r="C577" i="1" a="1"/>
  <c r="M576" i="1" a="1"/>
  <c r="M576" i="1" s="1"/>
  <c r="I576" i="1"/>
  <c r="H576" i="1"/>
  <c r="G576" i="1"/>
  <c r="F576" i="1"/>
  <c r="C576" i="1"/>
  <c r="C576" i="1" a="1"/>
  <c r="M575" i="1" a="1"/>
  <c r="M575" i="1" s="1"/>
  <c r="I575" i="1"/>
  <c r="H575" i="1"/>
  <c r="G575" i="1"/>
  <c r="F575" i="1"/>
  <c r="C575" i="1" a="1"/>
  <c r="C575" i="1" s="1"/>
  <c r="M574" i="1" a="1"/>
  <c r="M574" i="1" s="1"/>
  <c r="I574" i="1"/>
  <c r="H574" i="1"/>
  <c r="G574" i="1"/>
  <c r="F574" i="1"/>
  <c r="C574" i="1"/>
  <c r="C574" i="1" a="1"/>
  <c r="M573" i="1" a="1"/>
  <c r="M573" i="1" s="1"/>
  <c r="I573" i="1"/>
  <c r="H573" i="1"/>
  <c r="G573" i="1"/>
  <c r="F573" i="1"/>
  <c r="C573" i="1"/>
  <c r="C573" i="1" a="1"/>
  <c r="M572" i="1" a="1"/>
  <c r="M572" i="1" s="1"/>
  <c r="I572" i="1"/>
  <c r="H572" i="1"/>
  <c r="G572" i="1"/>
  <c r="F572" i="1"/>
  <c r="C572" i="1"/>
  <c r="C572" i="1" a="1"/>
  <c r="M571" i="1" a="1"/>
  <c r="M571" i="1" s="1"/>
  <c r="I571" i="1"/>
  <c r="H571" i="1"/>
  <c r="G571" i="1"/>
  <c r="F571" i="1"/>
  <c r="C571" i="1" a="1"/>
  <c r="C571" i="1" s="1"/>
  <c r="M570" i="1" a="1"/>
  <c r="M570" i="1" s="1"/>
  <c r="I570" i="1"/>
  <c r="H570" i="1"/>
  <c r="G570" i="1"/>
  <c r="F570" i="1"/>
  <c r="C570" i="1"/>
  <c r="C570" i="1" a="1"/>
  <c r="M569" i="1" a="1"/>
  <c r="M569" i="1" s="1"/>
  <c r="I569" i="1"/>
  <c r="H569" i="1"/>
  <c r="G569" i="1"/>
  <c r="F569" i="1"/>
  <c r="C569" i="1"/>
  <c r="C569" i="1" a="1"/>
  <c r="M568" i="1" a="1"/>
  <c r="M568" i="1" s="1"/>
  <c r="I568" i="1"/>
  <c r="H568" i="1"/>
  <c r="G568" i="1"/>
  <c r="F568" i="1"/>
  <c r="C568" i="1"/>
  <c r="C568" i="1" a="1"/>
  <c r="M567" i="1" a="1"/>
  <c r="M567" i="1" s="1"/>
  <c r="I567" i="1"/>
  <c r="H567" i="1"/>
  <c r="G567" i="1"/>
  <c r="F567" i="1"/>
  <c r="C567" i="1" a="1"/>
  <c r="C567" i="1" s="1"/>
  <c r="M566" i="1" a="1"/>
  <c r="M566" i="1" s="1"/>
  <c r="I566" i="1"/>
  <c r="H566" i="1"/>
  <c r="G566" i="1"/>
  <c r="F566" i="1"/>
  <c r="C566" i="1"/>
  <c r="C566" i="1" a="1"/>
  <c r="M565" i="1" a="1"/>
  <c r="M565" i="1" s="1"/>
  <c r="I565" i="1"/>
  <c r="H565" i="1"/>
  <c r="G565" i="1"/>
  <c r="F565" i="1"/>
  <c r="C565" i="1"/>
  <c r="C565" i="1" a="1"/>
  <c r="M564" i="1" a="1"/>
  <c r="M564" i="1" s="1"/>
  <c r="I564" i="1"/>
  <c r="H564" i="1"/>
  <c r="G564" i="1"/>
  <c r="F564" i="1"/>
  <c r="C564" i="1"/>
  <c r="C564" i="1" a="1"/>
  <c r="M563" i="1" a="1"/>
  <c r="M563" i="1" s="1"/>
  <c r="I563" i="1"/>
  <c r="H563" i="1"/>
  <c r="G563" i="1"/>
  <c r="F563" i="1"/>
  <c r="C563" i="1" a="1"/>
  <c r="C563" i="1" s="1"/>
  <c r="M562" i="1" a="1"/>
  <c r="M562" i="1" s="1"/>
  <c r="I562" i="1"/>
  <c r="H562" i="1"/>
  <c r="G562" i="1"/>
  <c r="F562" i="1"/>
  <c r="C562" i="1"/>
  <c r="C562" i="1" a="1"/>
  <c r="M561" i="1" a="1"/>
  <c r="M561" i="1" s="1"/>
  <c r="I561" i="1"/>
  <c r="H561" i="1"/>
  <c r="G561" i="1"/>
  <c r="F561" i="1"/>
  <c r="C561" i="1"/>
  <c r="C561" i="1" a="1"/>
  <c r="M560" i="1" a="1"/>
  <c r="M560" i="1" s="1"/>
  <c r="I560" i="1"/>
  <c r="H560" i="1"/>
  <c r="G560" i="1"/>
  <c r="F560" i="1"/>
  <c r="C560" i="1"/>
  <c r="C560" i="1" a="1"/>
  <c r="M559" i="1" a="1"/>
  <c r="M559" i="1" s="1"/>
  <c r="I559" i="1"/>
  <c r="H559" i="1"/>
  <c r="G559" i="1"/>
  <c r="F559" i="1"/>
  <c r="C559" i="1" a="1"/>
  <c r="C559" i="1" s="1"/>
  <c r="M558" i="1" a="1"/>
  <c r="M558" i="1" s="1"/>
  <c r="I558" i="1"/>
  <c r="H558" i="1"/>
  <c r="G558" i="1"/>
  <c r="F558" i="1"/>
  <c r="C558" i="1"/>
  <c r="C558" i="1" a="1"/>
  <c r="M557" i="1"/>
  <c r="M557" i="1" a="1"/>
  <c r="I557" i="1"/>
  <c r="H557" i="1"/>
  <c r="G557" i="1"/>
  <c r="F557" i="1"/>
  <c r="C557" i="1"/>
  <c r="C557" i="1" a="1"/>
  <c r="M556" i="1"/>
  <c r="M556" i="1" a="1"/>
  <c r="I556" i="1"/>
  <c r="H556" i="1"/>
  <c r="G556" i="1"/>
  <c r="F556" i="1"/>
  <c r="C556" i="1"/>
  <c r="C556" i="1" a="1"/>
  <c r="M555" i="1"/>
  <c r="M555" i="1" a="1"/>
  <c r="I555" i="1"/>
  <c r="H555" i="1"/>
  <c r="G555" i="1"/>
  <c r="F555" i="1"/>
  <c r="C555" i="1"/>
  <c r="C555" i="1" a="1"/>
  <c r="M554" i="1"/>
  <c r="M554" i="1" a="1"/>
  <c r="I554" i="1"/>
  <c r="H554" i="1"/>
  <c r="G554" i="1"/>
  <c r="F554" i="1"/>
  <c r="C554" i="1"/>
  <c r="C554" i="1" a="1"/>
  <c r="M553" i="1"/>
  <c r="M553" i="1" a="1"/>
  <c r="I553" i="1"/>
  <c r="H553" i="1"/>
  <c r="G553" i="1"/>
  <c r="F553" i="1"/>
  <c r="C553" i="1"/>
  <c r="C553" i="1" a="1"/>
  <c r="M552" i="1"/>
  <c r="M552" i="1" a="1"/>
  <c r="I552" i="1"/>
  <c r="H552" i="1"/>
  <c r="G552" i="1"/>
  <c r="F552" i="1"/>
  <c r="C552" i="1"/>
  <c r="C552" i="1" a="1"/>
  <c r="M551" i="1"/>
  <c r="M551" i="1" a="1"/>
  <c r="I551" i="1"/>
  <c r="H551" i="1"/>
  <c r="G551" i="1"/>
  <c r="F551" i="1"/>
  <c r="C551" i="1"/>
  <c r="C551" i="1" a="1"/>
  <c r="M550" i="1"/>
  <c r="M550" i="1" a="1"/>
  <c r="I550" i="1"/>
  <c r="H550" i="1"/>
  <c r="G550" i="1"/>
  <c r="F550" i="1"/>
  <c r="C550" i="1"/>
  <c r="C550" i="1" a="1"/>
  <c r="M549" i="1"/>
  <c r="M549" i="1" a="1"/>
  <c r="I549" i="1"/>
  <c r="H549" i="1"/>
  <c r="G549" i="1"/>
  <c r="F549" i="1"/>
  <c r="C549" i="1"/>
  <c r="C549" i="1" a="1"/>
  <c r="M548" i="1"/>
  <c r="M548" i="1" a="1"/>
  <c r="I548" i="1"/>
  <c r="H548" i="1"/>
  <c r="G548" i="1"/>
  <c r="F548" i="1"/>
  <c r="C548" i="1"/>
  <c r="C548" i="1" a="1"/>
  <c r="M547" i="1"/>
  <c r="M547" i="1" a="1"/>
  <c r="I547" i="1"/>
  <c r="H547" i="1"/>
  <c r="G547" i="1"/>
  <c r="F547" i="1"/>
  <c r="C547" i="1" a="1"/>
  <c r="C547" i="1" s="1"/>
  <c r="M546" i="1"/>
  <c r="M546" i="1" a="1"/>
  <c r="I546" i="1"/>
  <c r="H546" i="1"/>
  <c r="G546" i="1"/>
  <c r="F546" i="1"/>
  <c r="C546" i="1" a="1"/>
  <c r="C546" i="1" s="1"/>
  <c r="M545" i="1"/>
  <c r="M545" i="1" a="1"/>
  <c r="I545" i="1"/>
  <c r="H545" i="1"/>
  <c r="G545" i="1"/>
  <c r="F545" i="1"/>
  <c r="C545" i="1" a="1"/>
  <c r="C545" i="1" s="1"/>
  <c r="M544" i="1"/>
  <c r="M544" i="1" a="1"/>
  <c r="I544" i="1"/>
  <c r="H544" i="1"/>
  <c r="G544" i="1"/>
  <c r="F544" i="1"/>
  <c r="C544" i="1" a="1"/>
  <c r="C544" i="1" s="1"/>
  <c r="M543" i="1"/>
  <c r="M543" i="1" a="1"/>
  <c r="I543" i="1"/>
  <c r="H543" i="1"/>
  <c r="G543" i="1"/>
  <c r="F543" i="1"/>
  <c r="C543" i="1" a="1"/>
  <c r="C543" i="1" s="1"/>
  <c r="M542" i="1"/>
  <c r="M542" i="1" a="1"/>
  <c r="I542" i="1"/>
  <c r="H542" i="1"/>
  <c r="G542" i="1"/>
  <c r="F542" i="1"/>
  <c r="C542" i="1" a="1"/>
  <c r="C542" i="1" s="1"/>
  <c r="M541" i="1"/>
  <c r="M541" i="1" a="1"/>
  <c r="I541" i="1"/>
  <c r="H541" i="1"/>
  <c r="G541" i="1"/>
  <c r="F541" i="1"/>
  <c r="C541" i="1" a="1"/>
  <c r="C541" i="1" s="1"/>
  <c r="M540" i="1"/>
  <c r="M540" i="1" a="1"/>
  <c r="I540" i="1"/>
  <c r="H540" i="1"/>
  <c r="G540" i="1"/>
  <c r="F540" i="1"/>
  <c r="C540" i="1" a="1"/>
  <c r="C540" i="1" s="1"/>
  <c r="M539" i="1"/>
  <c r="M539" i="1" a="1"/>
  <c r="I539" i="1"/>
  <c r="H539" i="1"/>
  <c r="G539" i="1"/>
  <c r="F539" i="1"/>
  <c r="C539" i="1" a="1"/>
  <c r="C539" i="1" s="1"/>
  <c r="M538" i="1"/>
  <c r="M538" i="1" a="1"/>
  <c r="I538" i="1"/>
  <c r="H538" i="1"/>
  <c r="G538" i="1"/>
  <c r="F538" i="1"/>
  <c r="C538" i="1" a="1"/>
  <c r="C538" i="1" s="1"/>
  <c r="M537" i="1"/>
  <c r="M537" i="1" a="1"/>
  <c r="I537" i="1"/>
  <c r="H537" i="1"/>
  <c r="G537" i="1"/>
  <c r="F537" i="1"/>
  <c r="C537" i="1" a="1"/>
  <c r="C537" i="1" s="1"/>
  <c r="M536" i="1"/>
  <c r="M536" i="1" a="1"/>
  <c r="I536" i="1"/>
  <c r="H536" i="1"/>
  <c r="G536" i="1"/>
  <c r="F536" i="1"/>
  <c r="C536" i="1" a="1"/>
  <c r="C536" i="1" s="1"/>
  <c r="M535" i="1"/>
  <c r="M535" i="1" a="1"/>
  <c r="I535" i="1"/>
  <c r="H535" i="1"/>
  <c r="G535" i="1"/>
  <c r="F535" i="1"/>
  <c r="C535" i="1" a="1"/>
  <c r="C535" i="1" s="1"/>
  <c r="M534" i="1" a="1"/>
  <c r="M534" i="1" s="1"/>
  <c r="I534" i="1"/>
  <c r="H534" i="1"/>
  <c r="G534" i="1"/>
  <c r="F534" i="1"/>
  <c r="C534" i="1" a="1"/>
  <c r="C534" i="1" s="1"/>
  <c r="M533" i="1"/>
  <c r="M533" i="1" a="1"/>
  <c r="I533" i="1"/>
  <c r="H533" i="1"/>
  <c r="G533" i="1"/>
  <c r="F533" i="1"/>
  <c r="C533" i="1" a="1"/>
  <c r="C533" i="1" s="1"/>
  <c r="M532" i="1" a="1"/>
  <c r="M532" i="1" s="1"/>
  <c r="I532" i="1"/>
  <c r="H532" i="1"/>
  <c r="G532" i="1"/>
  <c r="F532" i="1"/>
  <c r="C532" i="1" a="1"/>
  <c r="C532" i="1" s="1"/>
  <c r="M531" i="1" a="1"/>
  <c r="M531" i="1" s="1"/>
  <c r="I531" i="1"/>
  <c r="H531" i="1"/>
  <c r="G531" i="1"/>
  <c r="F531" i="1"/>
  <c r="C531" i="1" a="1"/>
  <c r="C531" i="1" s="1"/>
  <c r="M530" i="1" a="1"/>
  <c r="M530" i="1" s="1"/>
  <c r="I530" i="1"/>
  <c r="H530" i="1"/>
  <c r="G530" i="1"/>
  <c r="F530" i="1"/>
  <c r="C530" i="1" a="1"/>
  <c r="C530" i="1" s="1"/>
  <c r="M529" i="1"/>
  <c r="M529" i="1" a="1"/>
  <c r="I529" i="1"/>
  <c r="H529" i="1"/>
  <c r="G529" i="1"/>
  <c r="F529" i="1"/>
  <c r="C529" i="1" a="1"/>
  <c r="C529" i="1" s="1"/>
  <c r="M528" i="1" a="1"/>
  <c r="M528" i="1" s="1"/>
  <c r="I528" i="1"/>
  <c r="H528" i="1"/>
  <c r="G528" i="1"/>
  <c r="F528" i="1"/>
  <c r="C528" i="1" a="1"/>
  <c r="C528" i="1" s="1"/>
  <c r="M527" i="1" a="1"/>
  <c r="M527" i="1" s="1"/>
  <c r="I527" i="1"/>
  <c r="H527" i="1"/>
  <c r="G527" i="1"/>
  <c r="F527" i="1"/>
  <c r="C527" i="1" a="1"/>
  <c r="C527" i="1" s="1"/>
  <c r="M526" i="1" a="1"/>
  <c r="M526" i="1" s="1"/>
  <c r="I526" i="1"/>
  <c r="H526" i="1"/>
  <c r="G526" i="1"/>
  <c r="F526" i="1"/>
  <c r="C526" i="1" a="1"/>
  <c r="C526" i="1" s="1"/>
  <c r="M525" i="1"/>
  <c r="M525" i="1" a="1"/>
  <c r="I525" i="1"/>
  <c r="H525" i="1"/>
  <c r="G525" i="1"/>
  <c r="F525" i="1"/>
  <c r="C525" i="1" a="1"/>
  <c r="C525" i="1" s="1"/>
  <c r="M524" i="1" a="1"/>
  <c r="M524" i="1" s="1"/>
  <c r="I524" i="1"/>
  <c r="H524" i="1"/>
  <c r="G524" i="1"/>
  <c r="F524" i="1"/>
  <c r="C524" i="1" a="1"/>
  <c r="C524" i="1" s="1"/>
  <c r="M523" i="1" a="1"/>
  <c r="M523" i="1" s="1"/>
  <c r="I523" i="1"/>
  <c r="H523" i="1"/>
  <c r="G523" i="1"/>
  <c r="F523" i="1"/>
  <c r="C523" i="1" a="1"/>
  <c r="C523" i="1" s="1"/>
  <c r="M522" i="1" a="1"/>
  <c r="M522" i="1" s="1"/>
  <c r="I522" i="1"/>
  <c r="H522" i="1"/>
  <c r="G522" i="1"/>
  <c r="F522" i="1"/>
  <c r="C522" i="1" a="1"/>
  <c r="C522" i="1" s="1"/>
  <c r="M521" i="1"/>
  <c r="M521" i="1" a="1"/>
  <c r="I521" i="1"/>
  <c r="H521" i="1"/>
  <c r="G521" i="1"/>
  <c r="F521" i="1"/>
  <c r="C521" i="1" a="1"/>
  <c r="C521" i="1" s="1"/>
  <c r="M520" i="1" a="1"/>
  <c r="M520" i="1" s="1"/>
  <c r="I520" i="1"/>
  <c r="H520" i="1"/>
  <c r="G520" i="1"/>
  <c r="F520" i="1"/>
  <c r="C520" i="1" a="1"/>
  <c r="C520" i="1" s="1"/>
  <c r="M519" i="1" a="1"/>
  <c r="M519" i="1" s="1"/>
  <c r="I519" i="1"/>
  <c r="H519" i="1"/>
  <c r="G519" i="1"/>
  <c r="F519" i="1"/>
  <c r="C519" i="1" a="1"/>
  <c r="C519" i="1" s="1"/>
  <c r="M518" i="1" a="1"/>
  <c r="M518" i="1" s="1"/>
  <c r="I518" i="1"/>
  <c r="H518" i="1"/>
  <c r="G518" i="1"/>
  <c r="F518" i="1"/>
  <c r="C518" i="1" a="1"/>
  <c r="C518" i="1" s="1"/>
  <c r="M517" i="1"/>
  <c r="M517" i="1" a="1"/>
  <c r="I517" i="1"/>
  <c r="H517" i="1"/>
  <c r="G517" i="1"/>
  <c r="F517" i="1"/>
  <c r="C517" i="1" a="1"/>
  <c r="C517" i="1" s="1"/>
  <c r="M516" i="1" a="1"/>
  <c r="M516" i="1" s="1"/>
  <c r="I516" i="1"/>
  <c r="H516" i="1"/>
  <c r="G516" i="1"/>
  <c r="F516" i="1"/>
  <c r="C516" i="1" a="1"/>
  <c r="C516" i="1" s="1"/>
  <c r="M515" i="1" a="1"/>
  <c r="M515" i="1" s="1"/>
  <c r="I515" i="1"/>
  <c r="H515" i="1"/>
  <c r="G515" i="1"/>
  <c r="F515" i="1"/>
  <c r="C515" i="1" a="1"/>
  <c r="C515" i="1" s="1"/>
  <c r="M514" i="1" a="1"/>
  <c r="M514" i="1" s="1"/>
  <c r="I514" i="1"/>
  <c r="H514" i="1"/>
  <c r="G514" i="1"/>
  <c r="F514" i="1"/>
  <c r="C514" i="1" a="1"/>
  <c r="C514" i="1" s="1"/>
  <c r="M513" i="1"/>
  <c r="M513" i="1" a="1"/>
  <c r="I513" i="1"/>
  <c r="H513" i="1"/>
  <c r="G513" i="1"/>
  <c r="F513" i="1"/>
  <c r="C513" i="1" a="1"/>
  <c r="C513" i="1" s="1"/>
  <c r="M512" i="1" a="1"/>
  <c r="M512" i="1" s="1"/>
  <c r="I512" i="1"/>
  <c r="H512" i="1"/>
  <c r="G512" i="1"/>
  <c r="F512" i="1"/>
  <c r="C512" i="1" a="1"/>
  <c r="C512" i="1" s="1"/>
  <c r="M511" i="1" a="1"/>
  <c r="M511" i="1" s="1"/>
  <c r="I511" i="1"/>
  <c r="H511" i="1"/>
  <c r="G511" i="1"/>
  <c r="F511" i="1"/>
  <c r="C511" i="1" a="1"/>
  <c r="C511" i="1" s="1"/>
  <c r="M510" i="1" a="1"/>
  <c r="M510" i="1" s="1"/>
  <c r="I510" i="1"/>
  <c r="H510" i="1"/>
  <c r="G510" i="1"/>
  <c r="F510" i="1"/>
  <c r="C510" i="1" a="1"/>
  <c r="C510" i="1" s="1"/>
  <c r="M509" i="1"/>
  <c r="M509" i="1" a="1"/>
  <c r="I509" i="1"/>
  <c r="H509" i="1"/>
  <c r="G509" i="1"/>
  <c r="F509" i="1"/>
  <c r="C509" i="1" a="1"/>
  <c r="C509" i="1" s="1"/>
  <c r="M508" i="1" a="1"/>
  <c r="M508" i="1" s="1"/>
  <c r="I508" i="1"/>
  <c r="H508" i="1"/>
  <c r="G508" i="1"/>
  <c r="F508" i="1"/>
  <c r="C508" i="1" a="1"/>
  <c r="C508" i="1" s="1"/>
  <c r="M507" i="1" a="1"/>
  <c r="M507" i="1" s="1"/>
  <c r="I507" i="1"/>
  <c r="H507" i="1"/>
  <c r="G507" i="1"/>
  <c r="F507" i="1"/>
  <c r="C507" i="1" a="1"/>
  <c r="C507" i="1" s="1"/>
  <c r="M506" i="1" a="1"/>
  <c r="M506" i="1" s="1"/>
  <c r="I506" i="1"/>
  <c r="H506" i="1"/>
  <c r="G506" i="1"/>
  <c r="F506" i="1"/>
  <c r="C506" i="1" a="1"/>
  <c r="C506" i="1" s="1"/>
  <c r="M505" i="1"/>
  <c r="M505" i="1" a="1"/>
  <c r="I505" i="1"/>
  <c r="H505" i="1"/>
  <c r="G505" i="1"/>
  <c r="F505" i="1"/>
  <c r="C505" i="1" a="1"/>
  <c r="C505" i="1" s="1"/>
  <c r="M504" i="1" a="1"/>
  <c r="M504" i="1" s="1"/>
  <c r="I504" i="1"/>
  <c r="H504" i="1"/>
  <c r="G504" i="1"/>
  <c r="F504" i="1"/>
  <c r="C504" i="1" a="1"/>
  <c r="C504" i="1" s="1"/>
  <c r="M503" i="1" a="1"/>
  <c r="M503" i="1" s="1"/>
  <c r="I503" i="1"/>
  <c r="H503" i="1"/>
  <c r="G503" i="1"/>
  <c r="F503" i="1"/>
  <c r="C503" i="1" a="1"/>
  <c r="C503" i="1" s="1"/>
  <c r="M502" i="1" a="1"/>
  <c r="M502" i="1" s="1"/>
  <c r="I502" i="1"/>
  <c r="H502" i="1"/>
  <c r="G502" i="1"/>
  <c r="F502" i="1"/>
  <c r="C502" i="1" a="1"/>
  <c r="C502" i="1" s="1"/>
  <c r="M501" i="1"/>
  <c r="M501" i="1" a="1"/>
  <c r="I501" i="1"/>
  <c r="H501" i="1"/>
  <c r="G501" i="1"/>
  <c r="F501" i="1"/>
  <c r="C501" i="1" a="1"/>
  <c r="C501" i="1" s="1"/>
  <c r="M500" i="1" a="1"/>
  <c r="M500" i="1" s="1"/>
  <c r="I500" i="1"/>
  <c r="H500" i="1"/>
  <c r="G500" i="1"/>
  <c r="F500" i="1"/>
  <c r="C500" i="1" a="1"/>
  <c r="C500" i="1" s="1"/>
  <c r="M499" i="1" a="1"/>
  <c r="M499" i="1" s="1"/>
  <c r="I499" i="1"/>
  <c r="H499" i="1"/>
  <c r="G499" i="1"/>
  <c r="F499" i="1"/>
  <c r="C499" i="1" a="1"/>
  <c r="C499" i="1" s="1"/>
  <c r="M498" i="1" a="1"/>
  <c r="M498" i="1" s="1"/>
  <c r="I498" i="1"/>
  <c r="H498" i="1"/>
  <c r="G498" i="1"/>
  <c r="F498" i="1"/>
  <c r="C498" i="1" a="1"/>
  <c r="C498" i="1" s="1"/>
  <c r="M497" i="1"/>
  <c r="M497" i="1" a="1"/>
  <c r="I497" i="1"/>
  <c r="H497" i="1"/>
  <c r="G497" i="1"/>
  <c r="F497" i="1"/>
  <c r="C497" i="1" a="1"/>
  <c r="C497" i="1" s="1"/>
  <c r="M496" i="1" a="1"/>
  <c r="M496" i="1" s="1"/>
  <c r="I496" i="1"/>
  <c r="H496" i="1"/>
  <c r="G496" i="1"/>
  <c r="F496" i="1"/>
  <c r="C496" i="1" a="1"/>
  <c r="C496" i="1" s="1"/>
  <c r="M495" i="1" a="1"/>
  <c r="M495" i="1" s="1"/>
  <c r="I495" i="1"/>
  <c r="H495" i="1"/>
  <c r="G495" i="1"/>
  <c r="F495" i="1"/>
  <c r="C495" i="1" a="1"/>
  <c r="C495" i="1" s="1"/>
  <c r="M494" i="1" a="1"/>
  <c r="M494" i="1" s="1"/>
  <c r="I494" i="1"/>
  <c r="H494" i="1"/>
  <c r="G494" i="1"/>
  <c r="F494" i="1"/>
  <c r="C494" i="1" a="1"/>
  <c r="C494" i="1" s="1"/>
  <c r="M493" i="1"/>
  <c r="M493" i="1" a="1"/>
  <c r="I493" i="1"/>
  <c r="H493" i="1"/>
  <c r="G493" i="1"/>
  <c r="F493" i="1"/>
  <c r="C493" i="1" a="1"/>
  <c r="C493" i="1" s="1"/>
  <c r="M492" i="1" a="1"/>
  <c r="M492" i="1" s="1"/>
  <c r="I492" i="1"/>
  <c r="H492" i="1"/>
  <c r="G492" i="1"/>
  <c r="F492" i="1"/>
  <c r="C492" i="1" a="1"/>
  <c r="C492" i="1" s="1"/>
  <c r="M491" i="1" a="1"/>
  <c r="M491" i="1" s="1"/>
  <c r="I491" i="1"/>
  <c r="H491" i="1"/>
  <c r="G491" i="1"/>
  <c r="F491" i="1"/>
  <c r="C491" i="1" a="1"/>
  <c r="C491" i="1" s="1"/>
  <c r="M490" i="1" a="1"/>
  <c r="M490" i="1" s="1"/>
  <c r="I490" i="1"/>
  <c r="H490" i="1"/>
  <c r="G490" i="1"/>
  <c r="F490" i="1"/>
  <c r="C490" i="1" a="1"/>
  <c r="C490" i="1" s="1"/>
  <c r="M489" i="1"/>
  <c r="M489" i="1" a="1"/>
  <c r="I489" i="1"/>
  <c r="H489" i="1"/>
  <c r="G489" i="1"/>
  <c r="F489" i="1"/>
  <c r="C489" i="1" a="1"/>
  <c r="C489" i="1" s="1"/>
  <c r="M488" i="1" a="1"/>
  <c r="M488" i="1" s="1"/>
  <c r="I488" i="1"/>
  <c r="H488" i="1"/>
  <c r="G488" i="1"/>
  <c r="F488" i="1"/>
  <c r="C488" i="1" a="1"/>
  <c r="C488" i="1" s="1"/>
  <c r="M487" i="1" a="1"/>
  <c r="M487" i="1" s="1"/>
  <c r="I487" i="1"/>
  <c r="H487" i="1"/>
  <c r="G487" i="1"/>
  <c r="F487" i="1"/>
  <c r="C487" i="1" a="1"/>
  <c r="C487" i="1" s="1"/>
  <c r="M486" i="1" a="1"/>
  <c r="M486" i="1" s="1"/>
  <c r="I486" i="1"/>
  <c r="H486" i="1"/>
  <c r="G486" i="1"/>
  <c r="F486" i="1"/>
  <c r="C486" i="1" a="1"/>
  <c r="C486" i="1" s="1"/>
  <c r="M485" i="1"/>
  <c r="M485" i="1" a="1"/>
  <c r="I485" i="1"/>
  <c r="H485" i="1"/>
  <c r="G485" i="1"/>
  <c r="F485" i="1"/>
  <c r="C485" i="1" a="1"/>
  <c r="C485" i="1" s="1"/>
  <c r="M484" i="1" a="1"/>
  <c r="M484" i="1" s="1"/>
  <c r="I484" i="1"/>
  <c r="H484" i="1"/>
  <c r="G484" i="1"/>
  <c r="F484" i="1"/>
  <c r="C484" i="1" a="1"/>
  <c r="C484" i="1" s="1"/>
  <c r="M483" i="1" a="1"/>
  <c r="M483" i="1" s="1"/>
  <c r="I483" i="1"/>
  <c r="H483" i="1"/>
  <c r="G483" i="1"/>
  <c r="F483" i="1"/>
  <c r="C483" i="1" a="1"/>
  <c r="C483" i="1" s="1"/>
  <c r="M482" i="1" a="1"/>
  <c r="M482" i="1" s="1"/>
  <c r="I482" i="1"/>
  <c r="H482" i="1"/>
  <c r="G482" i="1"/>
  <c r="F482" i="1"/>
  <c r="C482" i="1" a="1"/>
  <c r="C482" i="1" s="1"/>
  <c r="M481" i="1"/>
  <c r="M481" i="1" a="1"/>
  <c r="I481" i="1"/>
  <c r="H481" i="1"/>
  <c r="G481" i="1"/>
  <c r="F481" i="1"/>
  <c r="C481" i="1" a="1"/>
  <c r="C481" i="1" s="1"/>
  <c r="M480" i="1" a="1"/>
  <c r="M480" i="1" s="1"/>
  <c r="I480" i="1"/>
  <c r="H480" i="1"/>
  <c r="G480" i="1"/>
  <c r="F480" i="1"/>
  <c r="C480" i="1" a="1"/>
  <c r="C480" i="1" s="1"/>
  <c r="M479" i="1" a="1"/>
  <c r="M479" i="1" s="1"/>
  <c r="I479" i="1"/>
  <c r="H479" i="1"/>
  <c r="G479" i="1"/>
  <c r="F479" i="1"/>
  <c r="C479" i="1" a="1"/>
  <c r="C479" i="1" s="1"/>
  <c r="M478" i="1" a="1"/>
  <c r="M478" i="1" s="1"/>
  <c r="I478" i="1"/>
  <c r="H478" i="1"/>
  <c r="G478" i="1"/>
  <c r="F478" i="1"/>
  <c r="C478" i="1" a="1"/>
  <c r="C478" i="1" s="1"/>
  <c r="M477" i="1"/>
  <c r="M477" i="1" a="1"/>
  <c r="I477" i="1"/>
  <c r="H477" i="1"/>
  <c r="G477" i="1"/>
  <c r="F477" i="1"/>
  <c r="C477" i="1" a="1"/>
  <c r="C477" i="1" s="1"/>
  <c r="M476" i="1" a="1"/>
  <c r="M476" i="1" s="1"/>
  <c r="I476" i="1"/>
  <c r="H476" i="1"/>
  <c r="G476" i="1"/>
  <c r="F476" i="1"/>
  <c r="C476" i="1" a="1"/>
  <c r="C476" i="1" s="1"/>
  <c r="M475" i="1" a="1"/>
  <c r="M475" i="1" s="1"/>
  <c r="I475" i="1"/>
  <c r="H475" i="1"/>
  <c r="G475" i="1"/>
  <c r="F475" i="1"/>
  <c r="C475" i="1" a="1"/>
  <c r="C475" i="1" s="1"/>
  <c r="M474" i="1" a="1"/>
  <c r="M474" i="1" s="1"/>
  <c r="I474" i="1"/>
  <c r="H474" i="1"/>
  <c r="G474" i="1"/>
  <c r="F474" i="1"/>
  <c r="C474" i="1" a="1"/>
  <c r="C474" i="1" s="1"/>
  <c r="M473" i="1"/>
  <c r="M473" i="1" a="1"/>
  <c r="I473" i="1"/>
  <c r="H473" i="1"/>
  <c r="G473" i="1"/>
  <c r="F473" i="1"/>
  <c r="C473" i="1" a="1"/>
  <c r="C473" i="1" s="1"/>
  <c r="M472" i="1" a="1"/>
  <c r="M472" i="1" s="1"/>
  <c r="I472" i="1"/>
  <c r="H472" i="1"/>
  <c r="G472" i="1"/>
  <c r="F472" i="1"/>
  <c r="C472" i="1" a="1"/>
  <c r="C472" i="1" s="1"/>
  <c r="M471" i="1" a="1"/>
  <c r="M471" i="1" s="1"/>
  <c r="I471" i="1"/>
  <c r="H471" i="1"/>
  <c r="G471" i="1"/>
  <c r="F471" i="1"/>
  <c r="C471" i="1" a="1"/>
  <c r="C471" i="1" s="1"/>
  <c r="M470" i="1" a="1"/>
  <c r="M470" i="1" s="1"/>
  <c r="I470" i="1"/>
  <c r="H470" i="1"/>
  <c r="G470" i="1"/>
  <c r="F470" i="1"/>
  <c r="C470" i="1" a="1"/>
  <c r="C470" i="1" s="1"/>
  <c r="M469" i="1"/>
  <c r="M469" i="1" a="1"/>
  <c r="I469" i="1"/>
  <c r="H469" i="1"/>
  <c r="G469" i="1"/>
  <c r="F469" i="1"/>
  <c r="C469" i="1" a="1"/>
  <c r="C469" i="1" s="1"/>
  <c r="M468" i="1" a="1"/>
  <c r="M468" i="1" s="1"/>
  <c r="I468" i="1"/>
  <c r="H468" i="1"/>
  <c r="G468" i="1"/>
  <c r="F468" i="1"/>
  <c r="C468" i="1" a="1"/>
  <c r="C468" i="1" s="1"/>
  <c r="M467" i="1" a="1"/>
  <c r="M467" i="1" s="1"/>
  <c r="I467" i="1"/>
  <c r="H467" i="1"/>
  <c r="G467" i="1"/>
  <c r="F467" i="1"/>
  <c r="C467" i="1" a="1"/>
  <c r="C467" i="1" s="1"/>
  <c r="M466" i="1" a="1"/>
  <c r="M466" i="1" s="1"/>
  <c r="I466" i="1"/>
  <c r="H466" i="1"/>
  <c r="G466" i="1"/>
  <c r="F466" i="1"/>
  <c r="C466" i="1" a="1"/>
  <c r="C466" i="1" s="1"/>
  <c r="M465" i="1"/>
  <c r="M465" i="1" a="1"/>
  <c r="I465" i="1"/>
  <c r="H465" i="1"/>
  <c r="G465" i="1"/>
  <c r="F465" i="1"/>
  <c r="C465" i="1" a="1"/>
  <c r="C465" i="1" s="1"/>
  <c r="M464" i="1" a="1"/>
  <c r="M464" i="1" s="1"/>
  <c r="I464" i="1"/>
  <c r="H464" i="1"/>
  <c r="G464" i="1"/>
  <c r="F464" i="1"/>
  <c r="C464" i="1" a="1"/>
  <c r="C464" i="1" s="1"/>
  <c r="M463" i="1" a="1"/>
  <c r="M463" i="1" s="1"/>
  <c r="I463" i="1"/>
  <c r="H463" i="1"/>
  <c r="G463" i="1"/>
  <c r="F463" i="1"/>
  <c r="C463" i="1" a="1"/>
  <c r="C463" i="1" s="1"/>
  <c r="M462" i="1" a="1"/>
  <c r="M462" i="1" s="1"/>
  <c r="I462" i="1"/>
  <c r="H462" i="1"/>
  <c r="G462" i="1"/>
  <c r="F462" i="1"/>
  <c r="C462" i="1" a="1"/>
  <c r="C462" i="1" s="1"/>
  <c r="M461" i="1"/>
  <c r="M461" i="1" a="1"/>
  <c r="I461" i="1"/>
  <c r="H461" i="1"/>
  <c r="G461" i="1"/>
  <c r="F461" i="1"/>
  <c r="C461" i="1" a="1"/>
  <c r="C461" i="1" s="1"/>
  <c r="M460" i="1" a="1"/>
  <c r="M460" i="1" s="1"/>
  <c r="I460" i="1"/>
  <c r="H460" i="1"/>
  <c r="G460" i="1"/>
  <c r="F460" i="1"/>
  <c r="C460" i="1" a="1"/>
  <c r="C460" i="1" s="1"/>
  <c r="M459" i="1" a="1"/>
  <c r="M459" i="1" s="1"/>
  <c r="I459" i="1"/>
  <c r="H459" i="1"/>
  <c r="G459" i="1"/>
  <c r="F459" i="1"/>
  <c r="C459" i="1" a="1"/>
  <c r="C459" i="1" s="1"/>
  <c r="M458" i="1" a="1"/>
  <c r="M458" i="1" s="1"/>
  <c r="I458" i="1"/>
  <c r="H458" i="1"/>
  <c r="G458" i="1"/>
  <c r="F458" i="1"/>
  <c r="C458" i="1" a="1"/>
  <c r="C458" i="1" s="1"/>
  <c r="M457" i="1"/>
  <c r="M457" i="1" a="1"/>
  <c r="I457" i="1"/>
  <c r="H457" i="1"/>
  <c r="G457" i="1"/>
  <c r="F457" i="1"/>
  <c r="C457" i="1" a="1"/>
  <c r="C457" i="1" s="1"/>
  <c r="M456" i="1" a="1"/>
  <c r="M456" i="1" s="1"/>
  <c r="I456" i="1"/>
  <c r="H456" i="1"/>
  <c r="G456" i="1"/>
  <c r="F456" i="1"/>
  <c r="C456" i="1" a="1"/>
  <c r="C456" i="1" s="1"/>
  <c r="M455" i="1" a="1"/>
  <c r="M455" i="1" s="1"/>
  <c r="I455" i="1"/>
  <c r="H455" i="1"/>
  <c r="G455" i="1"/>
  <c r="F455" i="1"/>
  <c r="C455" i="1" a="1"/>
  <c r="C455" i="1" s="1"/>
  <c r="M454" i="1" a="1"/>
  <c r="M454" i="1" s="1"/>
  <c r="I454" i="1"/>
  <c r="H454" i="1"/>
  <c r="G454" i="1"/>
  <c r="F454" i="1"/>
  <c r="C454" i="1" a="1"/>
  <c r="C454" i="1" s="1"/>
  <c r="M453" i="1"/>
  <c r="M453" i="1" a="1"/>
  <c r="I453" i="1"/>
  <c r="H453" i="1"/>
  <c r="G453" i="1"/>
  <c r="F453" i="1"/>
  <c r="C453" i="1" a="1"/>
  <c r="C453" i="1" s="1"/>
  <c r="M452" i="1" a="1"/>
  <c r="M452" i="1" s="1"/>
  <c r="I452" i="1"/>
  <c r="H452" i="1"/>
  <c r="G452" i="1"/>
  <c r="F452" i="1"/>
  <c r="C452" i="1" a="1"/>
  <c r="C452" i="1" s="1"/>
  <c r="M451" i="1" a="1"/>
  <c r="M451" i="1" s="1"/>
  <c r="I451" i="1"/>
  <c r="H451" i="1"/>
  <c r="G451" i="1"/>
  <c r="F451" i="1"/>
  <c r="C451" i="1" a="1"/>
  <c r="C451" i="1" s="1"/>
  <c r="M450" i="1" a="1"/>
  <c r="M450" i="1" s="1"/>
  <c r="I450" i="1"/>
  <c r="H450" i="1"/>
  <c r="G450" i="1"/>
  <c r="F450" i="1"/>
  <c r="C450" i="1" a="1"/>
  <c r="C450" i="1" s="1"/>
  <c r="M449" i="1"/>
  <c r="M449" i="1" a="1"/>
  <c r="I449" i="1"/>
  <c r="H449" i="1"/>
  <c r="G449" i="1"/>
  <c r="F449" i="1"/>
  <c r="C449" i="1" a="1"/>
  <c r="C449" i="1" s="1"/>
  <c r="M448" i="1" a="1"/>
  <c r="M448" i="1" s="1"/>
  <c r="I448" i="1"/>
  <c r="H448" i="1"/>
  <c r="G448" i="1"/>
  <c r="F448" i="1"/>
  <c r="C448" i="1" a="1"/>
  <c r="C448" i="1" s="1"/>
  <c r="M447" i="1" a="1"/>
  <c r="M447" i="1" s="1"/>
  <c r="I447" i="1"/>
  <c r="H447" i="1"/>
  <c r="G447" i="1"/>
  <c r="F447" i="1"/>
  <c r="C447" i="1" a="1"/>
  <c r="C447" i="1" s="1"/>
  <c r="M446" i="1" a="1"/>
  <c r="M446" i="1" s="1"/>
  <c r="I446" i="1"/>
  <c r="H446" i="1"/>
  <c r="G446" i="1"/>
  <c r="F446" i="1"/>
  <c r="C446" i="1" a="1"/>
  <c r="C446" i="1" s="1"/>
  <c r="M445" i="1"/>
  <c r="M445" i="1" a="1"/>
  <c r="I445" i="1"/>
  <c r="H445" i="1"/>
  <c r="G445" i="1"/>
  <c r="F445" i="1"/>
  <c r="C445" i="1" a="1"/>
  <c r="C445" i="1" s="1"/>
  <c r="M444" i="1" a="1"/>
  <c r="M444" i="1" s="1"/>
  <c r="I444" i="1"/>
  <c r="H444" i="1"/>
  <c r="G444" i="1"/>
  <c r="F444" i="1"/>
  <c r="C444" i="1" a="1"/>
  <c r="C444" i="1" s="1"/>
  <c r="M443" i="1" a="1"/>
  <c r="M443" i="1" s="1"/>
  <c r="I443" i="1"/>
  <c r="H443" i="1"/>
  <c r="G443" i="1"/>
  <c r="F443" i="1"/>
  <c r="C443" i="1" a="1"/>
  <c r="C443" i="1" s="1"/>
  <c r="M442" i="1" a="1"/>
  <c r="M442" i="1" s="1"/>
  <c r="I442" i="1"/>
  <c r="H442" i="1"/>
  <c r="G442" i="1"/>
  <c r="F442" i="1"/>
  <c r="C442" i="1" a="1"/>
  <c r="C442" i="1" s="1"/>
  <c r="M441" i="1"/>
  <c r="M441" i="1" a="1"/>
  <c r="I441" i="1"/>
  <c r="H441" i="1"/>
  <c r="G441" i="1"/>
  <c r="F441" i="1"/>
  <c r="C441" i="1" a="1"/>
  <c r="C441" i="1" s="1"/>
  <c r="M440" i="1" a="1"/>
  <c r="M440" i="1" s="1"/>
  <c r="I440" i="1"/>
  <c r="H440" i="1"/>
  <c r="G440" i="1"/>
  <c r="F440" i="1"/>
  <c r="C440" i="1" a="1"/>
  <c r="C440" i="1" s="1"/>
  <c r="M439" i="1" a="1"/>
  <c r="M439" i="1" s="1"/>
  <c r="I439" i="1"/>
  <c r="H439" i="1"/>
  <c r="G439" i="1"/>
  <c r="F439" i="1"/>
  <c r="C439" i="1" a="1"/>
  <c r="C439" i="1" s="1"/>
  <c r="M438" i="1" a="1"/>
  <c r="M438" i="1" s="1"/>
  <c r="I438" i="1"/>
  <c r="H438" i="1"/>
  <c r="G438" i="1"/>
  <c r="F438" i="1"/>
  <c r="C438" i="1" a="1"/>
  <c r="C438" i="1" s="1"/>
  <c r="M437" i="1"/>
  <c r="M437" i="1" a="1"/>
  <c r="I437" i="1"/>
  <c r="H437" i="1"/>
  <c r="G437" i="1"/>
  <c r="F437" i="1"/>
  <c r="C437" i="1" a="1"/>
  <c r="C437" i="1" s="1"/>
  <c r="M436" i="1" a="1"/>
  <c r="M436" i="1" s="1"/>
  <c r="I436" i="1"/>
  <c r="H436" i="1"/>
  <c r="G436" i="1"/>
  <c r="F436" i="1"/>
  <c r="C436" i="1" a="1"/>
  <c r="C436" i="1" s="1"/>
  <c r="M435" i="1" a="1"/>
  <c r="M435" i="1" s="1"/>
  <c r="I435" i="1"/>
  <c r="H435" i="1"/>
  <c r="G435" i="1"/>
  <c r="F435" i="1"/>
  <c r="C435" i="1" a="1"/>
  <c r="C435" i="1" s="1"/>
  <c r="M434" i="1" a="1"/>
  <c r="M434" i="1" s="1"/>
  <c r="I434" i="1"/>
  <c r="H434" i="1"/>
  <c r="G434" i="1"/>
  <c r="F434" i="1"/>
  <c r="C434" i="1" a="1"/>
  <c r="C434" i="1" s="1"/>
  <c r="M433" i="1"/>
  <c r="M433" i="1" a="1"/>
  <c r="I433" i="1"/>
  <c r="H433" i="1"/>
  <c r="G433" i="1"/>
  <c r="F433" i="1"/>
  <c r="C433" i="1" a="1"/>
  <c r="C433" i="1" s="1"/>
  <c r="M432" i="1" a="1"/>
  <c r="M432" i="1" s="1"/>
  <c r="I432" i="1"/>
  <c r="H432" i="1"/>
  <c r="G432" i="1"/>
  <c r="F432" i="1"/>
  <c r="C432" i="1" a="1"/>
  <c r="C432" i="1" s="1"/>
  <c r="M431" i="1" a="1"/>
  <c r="M431" i="1" s="1"/>
  <c r="I431" i="1"/>
  <c r="H431" i="1"/>
  <c r="G431" i="1"/>
  <c r="F431" i="1"/>
  <c r="C431" i="1" a="1"/>
  <c r="C431" i="1" s="1"/>
  <c r="M430" i="1" a="1"/>
  <c r="M430" i="1" s="1"/>
  <c r="I430" i="1"/>
  <c r="H430" i="1"/>
  <c r="G430" i="1"/>
  <c r="F430" i="1"/>
  <c r="C430" i="1" a="1"/>
  <c r="C430" i="1" s="1"/>
  <c r="M429" i="1"/>
  <c r="M429" i="1" a="1"/>
  <c r="I429" i="1"/>
  <c r="H429" i="1"/>
  <c r="G429" i="1"/>
  <c r="F429" i="1"/>
  <c r="C429" i="1" a="1"/>
  <c r="C429" i="1" s="1"/>
  <c r="M428" i="1" a="1"/>
  <c r="M428" i="1" s="1"/>
  <c r="I428" i="1"/>
  <c r="H428" i="1"/>
  <c r="G428" i="1"/>
  <c r="F428" i="1"/>
  <c r="C428" i="1" a="1"/>
  <c r="C428" i="1" s="1"/>
  <c r="M427" i="1" a="1"/>
  <c r="M427" i="1" s="1"/>
  <c r="I427" i="1"/>
  <c r="H427" i="1"/>
  <c r="G427" i="1"/>
  <c r="F427" i="1"/>
  <c r="C427" i="1" a="1"/>
  <c r="C427" i="1" s="1"/>
  <c r="M426" i="1" a="1"/>
  <c r="M426" i="1" s="1"/>
  <c r="I426" i="1"/>
  <c r="H426" i="1"/>
  <c r="G426" i="1"/>
  <c r="F426" i="1"/>
  <c r="C426" i="1" a="1"/>
  <c r="C426" i="1" s="1"/>
  <c r="M425" i="1"/>
  <c r="M425" i="1" a="1"/>
  <c r="I425" i="1"/>
  <c r="H425" i="1"/>
  <c r="G425" i="1"/>
  <c r="F425" i="1"/>
  <c r="C425" i="1" a="1"/>
  <c r="C425" i="1" s="1"/>
  <c r="M424" i="1" a="1"/>
  <c r="M424" i="1" s="1"/>
  <c r="I424" i="1"/>
  <c r="H424" i="1"/>
  <c r="G424" i="1"/>
  <c r="F424" i="1"/>
  <c r="C424" i="1" a="1"/>
  <c r="C424" i="1" s="1"/>
  <c r="M423" i="1" a="1"/>
  <c r="M423" i="1" s="1"/>
  <c r="I423" i="1"/>
  <c r="H423" i="1"/>
  <c r="G423" i="1"/>
  <c r="F423" i="1"/>
  <c r="C423" i="1" a="1"/>
  <c r="C423" i="1" s="1"/>
  <c r="M422" i="1" a="1"/>
  <c r="M422" i="1" s="1"/>
  <c r="I422" i="1"/>
  <c r="H422" i="1"/>
  <c r="G422" i="1"/>
  <c r="F422" i="1"/>
  <c r="C422" i="1" a="1"/>
  <c r="C422" i="1" s="1"/>
  <c r="M421" i="1"/>
  <c r="M421" i="1" a="1"/>
  <c r="I421" i="1"/>
  <c r="H421" i="1"/>
  <c r="G421" i="1"/>
  <c r="F421" i="1"/>
  <c r="C421" i="1" a="1"/>
  <c r="C421" i="1" s="1"/>
  <c r="M420" i="1" a="1"/>
  <c r="M420" i="1" s="1"/>
  <c r="I420" i="1"/>
  <c r="H420" i="1"/>
  <c r="G420" i="1"/>
  <c r="F420" i="1"/>
  <c r="C420" i="1" a="1"/>
  <c r="C420" i="1" s="1"/>
  <c r="M419" i="1" a="1"/>
  <c r="M419" i="1" s="1"/>
  <c r="I419" i="1"/>
  <c r="H419" i="1"/>
  <c r="G419" i="1"/>
  <c r="F419" i="1"/>
  <c r="C419" i="1" a="1"/>
  <c r="C419" i="1" s="1"/>
  <c r="M418" i="1" a="1"/>
  <c r="M418" i="1" s="1"/>
  <c r="I418" i="1"/>
  <c r="H418" i="1"/>
  <c r="G418" i="1"/>
  <c r="F418" i="1"/>
  <c r="C418" i="1" a="1"/>
  <c r="C418" i="1" s="1"/>
  <c r="M417" i="1"/>
  <c r="M417" i="1" a="1"/>
  <c r="I417" i="1"/>
  <c r="H417" i="1"/>
  <c r="G417" i="1"/>
  <c r="F417" i="1"/>
  <c r="C417" i="1" a="1"/>
  <c r="C417" i="1" s="1"/>
  <c r="M416" i="1" a="1"/>
  <c r="M416" i="1" s="1"/>
  <c r="I416" i="1"/>
  <c r="H416" i="1"/>
  <c r="G416" i="1"/>
  <c r="F416" i="1"/>
  <c r="C416" i="1" a="1"/>
  <c r="C416" i="1" s="1"/>
  <c r="M415" i="1" a="1"/>
  <c r="M415" i="1" s="1"/>
  <c r="I415" i="1"/>
  <c r="H415" i="1"/>
  <c r="G415" i="1"/>
  <c r="F415" i="1"/>
  <c r="C415" i="1" a="1"/>
  <c r="C415" i="1" s="1"/>
  <c r="M414" i="1" a="1"/>
  <c r="M414" i="1" s="1"/>
  <c r="I414" i="1"/>
  <c r="H414" i="1"/>
  <c r="G414" i="1"/>
  <c r="F414" i="1"/>
  <c r="C414" i="1" a="1"/>
  <c r="C414" i="1" s="1"/>
  <c r="M413" i="1"/>
  <c r="M413" i="1" a="1"/>
  <c r="I413" i="1"/>
  <c r="H413" i="1"/>
  <c r="G413" i="1"/>
  <c r="F413" i="1"/>
  <c r="C413" i="1" a="1"/>
  <c r="C413" i="1" s="1"/>
  <c r="M412" i="1" a="1"/>
  <c r="M412" i="1" s="1"/>
  <c r="I412" i="1"/>
  <c r="H412" i="1"/>
  <c r="G412" i="1"/>
  <c r="F412" i="1"/>
  <c r="C412" i="1" a="1"/>
  <c r="C412" i="1" s="1"/>
  <c r="M411" i="1" a="1"/>
  <c r="M411" i="1" s="1"/>
  <c r="I411" i="1"/>
  <c r="H411" i="1"/>
  <c r="G411" i="1"/>
  <c r="F411" i="1"/>
  <c r="C411" i="1" a="1"/>
  <c r="C411" i="1" s="1"/>
  <c r="M410" i="1" a="1"/>
  <c r="M410" i="1" s="1"/>
  <c r="I410" i="1"/>
  <c r="H410" i="1"/>
  <c r="G410" i="1"/>
  <c r="F410" i="1"/>
  <c r="C410" i="1" a="1"/>
  <c r="C410" i="1" s="1"/>
  <c r="M409" i="1"/>
  <c r="M409" i="1" a="1"/>
  <c r="I409" i="1"/>
  <c r="H409" i="1"/>
  <c r="G409" i="1"/>
  <c r="F409" i="1"/>
  <c r="C409" i="1" a="1"/>
  <c r="C409" i="1" s="1"/>
  <c r="M408" i="1" a="1"/>
  <c r="M408" i="1" s="1"/>
  <c r="I408" i="1"/>
  <c r="H408" i="1"/>
  <c r="G408" i="1"/>
  <c r="F408" i="1"/>
  <c r="C408" i="1" a="1"/>
  <c r="C408" i="1" s="1"/>
  <c r="M407" i="1" a="1"/>
  <c r="M407" i="1" s="1"/>
  <c r="I407" i="1"/>
  <c r="H407" i="1"/>
  <c r="G407" i="1"/>
  <c r="F407" i="1"/>
  <c r="C407" i="1" a="1"/>
  <c r="C407" i="1" s="1"/>
  <c r="M406" i="1" a="1"/>
  <c r="M406" i="1" s="1"/>
  <c r="I406" i="1"/>
  <c r="H406" i="1"/>
  <c r="G406" i="1"/>
  <c r="F406" i="1"/>
  <c r="C406" i="1" a="1"/>
  <c r="C406" i="1" s="1"/>
  <c r="M405" i="1"/>
  <c r="M405" i="1" a="1"/>
  <c r="I405" i="1"/>
  <c r="H405" i="1"/>
  <c r="G405" i="1"/>
  <c r="F405" i="1"/>
  <c r="C405" i="1" a="1"/>
  <c r="C405" i="1" s="1"/>
  <c r="M404" i="1" a="1"/>
  <c r="M404" i="1" s="1"/>
  <c r="I404" i="1"/>
  <c r="H404" i="1"/>
  <c r="G404" i="1"/>
  <c r="F404" i="1"/>
  <c r="C404" i="1" a="1"/>
  <c r="C404" i="1" s="1"/>
  <c r="M403" i="1" a="1"/>
  <c r="M403" i="1" s="1"/>
  <c r="I403" i="1"/>
  <c r="H403" i="1"/>
  <c r="G403" i="1"/>
  <c r="F403" i="1"/>
  <c r="C403" i="1" a="1"/>
  <c r="C403" i="1" s="1"/>
  <c r="M402" i="1" a="1"/>
  <c r="M402" i="1" s="1"/>
  <c r="I402" i="1"/>
  <c r="H402" i="1"/>
  <c r="G402" i="1"/>
  <c r="F402" i="1"/>
  <c r="C402" i="1" a="1"/>
  <c r="C402" i="1" s="1"/>
  <c r="M401" i="1"/>
  <c r="M401" i="1" a="1"/>
  <c r="I401" i="1"/>
  <c r="H401" i="1"/>
  <c r="G401" i="1"/>
  <c r="F401" i="1"/>
  <c r="C401" i="1" a="1"/>
  <c r="C401" i="1" s="1"/>
  <c r="M400" i="1" a="1"/>
  <c r="M400" i="1" s="1"/>
  <c r="I400" i="1"/>
  <c r="H400" i="1"/>
  <c r="G400" i="1"/>
  <c r="F400" i="1"/>
  <c r="C400" i="1" a="1"/>
  <c r="C400" i="1" s="1"/>
  <c r="M399" i="1" a="1"/>
  <c r="M399" i="1" s="1"/>
  <c r="I399" i="1"/>
  <c r="H399" i="1"/>
  <c r="G399" i="1"/>
  <c r="F399" i="1"/>
  <c r="C399" i="1" a="1"/>
  <c r="C399" i="1" s="1"/>
  <c r="M398" i="1" a="1"/>
  <c r="M398" i="1" s="1"/>
  <c r="I398" i="1"/>
  <c r="H398" i="1"/>
  <c r="G398" i="1"/>
  <c r="F398" i="1"/>
  <c r="C398" i="1" a="1"/>
  <c r="C398" i="1" s="1"/>
  <c r="M397" i="1"/>
  <c r="M397" i="1" a="1"/>
  <c r="I397" i="1"/>
  <c r="H397" i="1"/>
  <c r="G397" i="1"/>
  <c r="F397" i="1"/>
  <c r="C397" i="1" a="1"/>
  <c r="C397" i="1" s="1"/>
  <c r="M396" i="1" a="1"/>
  <c r="M396" i="1" s="1"/>
  <c r="I396" i="1"/>
  <c r="H396" i="1"/>
  <c r="G396" i="1"/>
  <c r="F396" i="1"/>
  <c r="C396" i="1" a="1"/>
  <c r="C396" i="1" s="1"/>
  <c r="M395" i="1" a="1"/>
  <c r="M395" i="1" s="1"/>
  <c r="I395" i="1"/>
  <c r="H395" i="1"/>
  <c r="G395" i="1"/>
  <c r="F395" i="1"/>
  <c r="C395" i="1" a="1"/>
  <c r="C395" i="1" s="1"/>
  <c r="M394" i="1" a="1"/>
  <c r="M394" i="1" s="1"/>
  <c r="I394" i="1"/>
  <c r="H394" i="1"/>
  <c r="G394" i="1"/>
  <c r="F394" i="1"/>
  <c r="C394" i="1" a="1"/>
  <c r="C394" i="1" s="1"/>
  <c r="M393" i="1"/>
  <c r="M393" i="1" a="1"/>
  <c r="I393" i="1"/>
  <c r="H393" i="1"/>
  <c r="G393" i="1"/>
  <c r="F393" i="1"/>
  <c r="C393" i="1" a="1"/>
  <c r="C393" i="1" s="1"/>
  <c r="M392" i="1" a="1"/>
  <c r="M392" i="1" s="1"/>
  <c r="I392" i="1"/>
  <c r="H392" i="1"/>
  <c r="G392" i="1"/>
  <c r="F392" i="1"/>
  <c r="C392" i="1" a="1"/>
  <c r="C392" i="1" s="1"/>
  <c r="M391" i="1" a="1"/>
  <c r="M391" i="1" s="1"/>
  <c r="I391" i="1"/>
  <c r="H391" i="1"/>
  <c r="G391" i="1"/>
  <c r="F391" i="1"/>
  <c r="C391" i="1" a="1"/>
  <c r="C391" i="1" s="1"/>
  <c r="M390" i="1" a="1"/>
  <c r="M390" i="1" s="1"/>
  <c r="I390" i="1"/>
  <c r="H390" i="1"/>
  <c r="G390" i="1"/>
  <c r="F390" i="1"/>
  <c r="C390" i="1" a="1"/>
  <c r="C390" i="1" s="1"/>
  <c r="M389" i="1"/>
  <c r="M389" i="1" a="1"/>
  <c r="I389" i="1"/>
  <c r="H389" i="1"/>
  <c r="G389" i="1"/>
  <c r="F389" i="1"/>
  <c r="C389" i="1" a="1"/>
  <c r="C389" i="1" s="1"/>
  <c r="M388" i="1" a="1"/>
  <c r="M388" i="1" s="1"/>
  <c r="I388" i="1"/>
  <c r="H388" i="1"/>
  <c r="G388" i="1"/>
  <c r="F388" i="1"/>
  <c r="C388" i="1" a="1"/>
  <c r="C388" i="1" s="1"/>
  <c r="M387" i="1" a="1"/>
  <c r="M387" i="1" s="1"/>
  <c r="I387" i="1"/>
  <c r="H387" i="1"/>
  <c r="G387" i="1"/>
  <c r="F387" i="1"/>
  <c r="C387" i="1" a="1"/>
  <c r="C387" i="1" s="1"/>
  <c r="M386" i="1" a="1"/>
  <c r="M386" i="1" s="1"/>
  <c r="I386" i="1"/>
  <c r="H386" i="1"/>
  <c r="G386" i="1"/>
  <c r="F386" i="1"/>
  <c r="C386" i="1" a="1"/>
  <c r="C386" i="1" s="1"/>
  <c r="M385" i="1"/>
  <c r="M385" i="1" a="1"/>
  <c r="I385" i="1"/>
  <c r="H385" i="1"/>
  <c r="G385" i="1"/>
  <c r="F385" i="1"/>
  <c r="C385" i="1" a="1"/>
  <c r="C385" i="1" s="1"/>
  <c r="M384" i="1" a="1"/>
  <c r="M384" i="1" s="1"/>
  <c r="I384" i="1"/>
  <c r="H384" i="1"/>
  <c r="G384" i="1"/>
  <c r="F384" i="1"/>
  <c r="C384" i="1" a="1"/>
  <c r="C384" i="1" s="1"/>
  <c r="M383" i="1" a="1"/>
  <c r="M383" i="1" s="1"/>
  <c r="I383" i="1"/>
  <c r="H383" i="1"/>
  <c r="G383" i="1"/>
  <c r="F383" i="1"/>
  <c r="C383" i="1" a="1"/>
  <c r="C383" i="1" s="1"/>
  <c r="M382" i="1" a="1"/>
  <c r="M382" i="1" s="1"/>
  <c r="I382" i="1"/>
  <c r="H382" i="1"/>
  <c r="G382" i="1"/>
  <c r="F382" i="1"/>
  <c r="C382" i="1" a="1"/>
  <c r="C382" i="1" s="1"/>
  <c r="M381" i="1"/>
  <c r="M381" i="1" a="1"/>
  <c r="I381" i="1"/>
  <c r="H381" i="1"/>
  <c r="G381" i="1"/>
  <c r="F381" i="1"/>
  <c r="C381" i="1" a="1"/>
  <c r="C381" i="1" s="1"/>
  <c r="M380" i="1" a="1"/>
  <c r="M380" i="1" s="1"/>
  <c r="I380" i="1"/>
  <c r="H380" i="1"/>
  <c r="G380" i="1"/>
  <c r="F380" i="1"/>
  <c r="C380" i="1" a="1"/>
  <c r="C380" i="1" s="1"/>
  <c r="M379" i="1" a="1"/>
  <c r="M379" i="1" s="1"/>
  <c r="I379" i="1"/>
  <c r="H379" i="1"/>
  <c r="G379" i="1"/>
  <c r="F379" i="1"/>
  <c r="C379" i="1" a="1"/>
  <c r="C379" i="1" s="1"/>
  <c r="M378" i="1" a="1"/>
  <c r="M378" i="1" s="1"/>
  <c r="I378" i="1"/>
  <c r="H378" i="1"/>
  <c r="G378" i="1"/>
  <c r="F378" i="1"/>
  <c r="C378" i="1" a="1"/>
  <c r="C378" i="1" s="1"/>
  <c r="M377" i="1"/>
  <c r="M377" i="1" a="1"/>
  <c r="I377" i="1"/>
  <c r="H377" i="1"/>
  <c r="G377" i="1"/>
  <c r="F377" i="1"/>
  <c r="C377" i="1" a="1"/>
  <c r="C377" i="1" s="1"/>
  <c r="M376" i="1"/>
  <c r="M376" i="1" a="1"/>
  <c r="I376" i="1"/>
  <c r="H376" i="1"/>
  <c r="G376" i="1"/>
  <c r="F376" i="1"/>
  <c r="C376" i="1" a="1"/>
  <c r="C376" i="1" s="1"/>
  <c r="M375" i="1"/>
  <c r="M375" i="1" a="1"/>
  <c r="I375" i="1"/>
  <c r="H375" i="1"/>
  <c r="G375" i="1"/>
  <c r="F375" i="1"/>
  <c r="C375" i="1" a="1"/>
  <c r="C375" i="1" s="1"/>
  <c r="M374" i="1"/>
  <c r="M374" i="1" a="1"/>
  <c r="I374" i="1"/>
  <c r="H374" i="1"/>
  <c r="G374" i="1"/>
  <c r="F374" i="1"/>
  <c r="C374" i="1" a="1"/>
  <c r="C374" i="1" s="1"/>
  <c r="M373" i="1"/>
  <c r="M373" i="1" a="1"/>
  <c r="I373" i="1"/>
  <c r="H373" i="1"/>
  <c r="G373" i="1"/>
  <c r="F373" i="1"/>
  <c r="C373" i="1" a="1"/>
  <c r="C373" i="1" s="1"/>
  <c r="M372" i="1"/>
  <c r="M372" i="1" a="1"/>
  <c r="I372" i="1"/>
  <c r="H372" i="1"/>
  <c r="G372" i="1"/>
  <c r="F372" i="1"/>
  <c r="C372" i="1" a="1"/>
  <c r="C372" i="1" s="1"/>
  <c r="M371" i="1"/>
  <c r="M371" i="1" a="1"/>
  <c r="I371" i="1"/>
  <c r="H371" i="1"/>
  <c r="G371" i="1"/>
  <c r="F371" i="1"/>
  <c r="C371" i="1" a="1"/>
  <c r="C371" i="1" s="1"/>
  <c r="M370" i="1"/>
  <c r="M370" i="1" a="1"/>
  <c r="I370" i="1"/>
  <c r="H370" i="1"/>
  <c r="G370" i="1"/>
  <c r="F370" i="1"/>
  <c r="C370" i="1" a="1"/>
  <c r="C370" i="1" s="1"/>
  <c r="M369" i="1"/>
  <c r="M369" i="1" a="1"/>
  <c r="I369" i="1"/>
  <c r="H369" i="1"/>
  <c r="G369" i="1"/>
  <c r="F369" i="1"/>
  <c r="C369" i="1" a="1"/>
  <c r="C369" i="1" s="1"/>
  <c r="M368" i="1"/>
  <c r="M368" i="1" a="1"/>
  <c r="I368" i="1"/>
  <c r="H368" i="1"/>
  <c r="G368" i="1"/>
  <c r="F368" i="1"/>
  <c r="C368" i="1" a="1"/>
  <c r="C368" i="1" s="1"/>
  <c r="M367" i="1"/>
  <c r="M367" i="1" a="1"/>
  <c r="I367" i="1"/>
  <c r="H367" i="1"/>
  <c r="G367" i="1"/>
  <c r="F367" i="1"/>
  <c r="C367" i="1" a="1"/>
  <c r="C367" i="1" s="1"/>
  <c r="M366" i="1"/>
  <c r="M366" i="1" a="1"/>
  <c r="I366" i="1"/>
  <c r="H366" i="1"/>
  <c r="G366" i="1"/>
  <c r="F366" i="1"/>
  <c r="C366" i="1" a="1"/>
  <c r="C366" i="1" s="1"/>
  <c r="M365" i="1"/>
  <c r="M365" i="1" a="1"/>
  <c r="I365" i="1"/>
  <c r="H365" i="1"/>
  <c r="G365" i="1"/>
  <c r="F365" i="1"/>
  <c r="C365" i="1" a="1"/>
  <c r="C365" i="1" s="1"/>
  <c r="M364" i="1"/>
  <c r="M364" i="1" a="1"/>
  <c r="I364" i="1"/>
  <c r="H364" i="1"/>
  <c r="G364" i="1"/>
  <c r="F364" i="1"/>
  <c r="C364" i="1" a="1"/>
  <c r="C364" i="1" s="1"/>
  <c r="M363" i="1"/>
  <c r="M363" i="1" a="1"/>
  <c r="I363" i="1"/>
  <c r="H363" i="1"/>
  <c r="G363" i="1"/>
  <c r="F363" i="1"/>
  <c r="C363" i="1" a="1"/>
  <c r="C363" i="1" s="1"/>
  <c r="M362" i="1"/>
  <c r="M362" i="1" a="1"/>
  <c r="I362" i="1"/>
  <c r="H362" i="1"/>
  <c r="G362" i="1"/>
  <c r="F362" i="1"/>
  <c r="C362" i="1" a="1"/>
  <c r="C362" i="1" s="1"/>
  <c r="M361" i="1"/>
  <c r="M361" i="1" a="1"/>
  <c r="I361" i="1"/>
  <c r="H361" i="1"/>
  <c r="G361" i="1"/>
  <c r="F361" i="1"/>
  <c r="C361" i="1" a="1"/>
  <c r="C361" i="1" s="1"/>
  <c r="M360" i="1"/>
  <c r="M360" i="1" a="1"/>
  <c r="I360" i="1"/>
  <c r="H360" i="1"/>
  <c r="G360" i="1"/>
  <c r="F360" i="1"/>
  <c r="C360" i="1" a="1"/>
  <c r="C360" i="1" s="1"/>
  <c r="M359" i="1"/>
  <c r="M359" i="1" a="1"/>
  <c r="I359" i="1"/>
  <c r="H359" i="1"/>
  <c r="G359" i="1"/>
  <c r="F359" i="1"/>
  <c r="C359" i="1" a="1"/>
  <c r="C359" i="1" s="1"/>
  <c r="M358" i="1"/>
  <c r="M358" i="1" a="1"/>
  <c r="I358" i="1"/>
  <c r="H358" i="1"/>
  <c r="G358" i="1"/>
  <c r="F358" i="1"/>
  <c r="C358" i="1" a="1"/>
  <c r="C358" i="1" s="1"/>
  <c r="M357" i="1"/>
  <c r="M357" i="1" a="1"/>
  <c r="I357" i="1"/>
  <c r="H357" i="1"/>
  <c r="G357" i="1"/>
  <c r="F357" i="1"/>
  <c r="C357" i="1" a="1"/>
  <c r="C357" i="1" s="1"/>
  <c r="M356" i="1"/>
  <c r="M356" i="1" a="1"/>
  <c r="I356" i="1"/>
  <c r="H356" i="1"/>
  <c r="G356" i="1"/>
  <c r="F356" i="1"/>
  <c r="C356" i="1" a="1"/>
  <c r="C356" i="1" s="1"/>
  <c r="M355" i="1"/>
  <c r="M355" i="1" a="1"/>
  <c r="I355" i="1"/>
  <c r="H355" i="1"/>
  <c r="G355" i="1"/>
  <c r="F355" i="1"/>
  <c r="C355" i="1" a="1"/>
  <c r="C355" i="1" s="1"/>
  <c r="M354" i="1"/>
  <c r="M354" i="1" a="1"/>
  <c r="I354" i="1"/>
  <c r="H354" i="1"/>
  <c r="G354" i="1"/>
  <c r="F354" i="1"/>
  <c r="C354" i="1" a="1"/>
  <c r="C354" i="1" s="1"/>
  <c r="M353" i="1"/>
  <c r="M353" i="1" a="1"/>
  <c r="I353" i="1"/>
  <c r="H353" i="1"/>
  <c r="G353" i="1"/>
  <c r="F353" i="1"/>
  <c r="C353" i="1" a="1"/>
  <c r="C353" i="1" s="1"/>
  <c r="M352" i="1"/>
  <c r="M352" i="1" a="1"/>
  <c r="I352" i="1"/>
  <c r="H352" i="1"/>
  <c r="G352" i="1"/>
  <c r="F352" i="1"/>
  <c r="C352" i="1" a="1"/>
  <c r="C352" i="1" s="1"/>
  <c r="M351" i="1"/>
  <c r="M351" i="1" a="1"/>
  <c r="I351" i="1"/>
  <c r="H351" i="1"/>
  <c r="G351" i="1"/>
  <c r="F351" i="1"/>
  <c r="C351" i="1" a="1"/>
  <c r="C351" i="1" s="1"/>
  <c r="M350" i="1"/>
  <c r="M350" i="1" a="1"/>
  <c r="I350" i="1"/>
  <c r="H350" i="1"/>
  <c r="G350" i="1"/>
  <c r="F350" i="1"/>
  <c r="C350" i="1" a="1"/>
  <c r="C350" i="1" s="1"/>
  <c r="M349" i="1"/>
  <c r="M349" i="1" a="1"/>
  <c r="I349" i="1"/>
  <c r="H349" i="1"/>
  <c r="G349" i="1"/>
  <c r="F349" i="1"/>
  <c r="C349" i="1" a="1"/>
  <c r="C349" i="1" s="1"/>
  <c r="M348" i="1"/>
  <c r="M348" i="1" a="1"/>
  <c r="I348" i="1"/>
  <c r="H348" i="1"/>
  <c r="G348" i="1"/>
  <c r="F348" i="1"/>
  <c r="C348" i="1" a="1"/>
  <c r="C348" i="1" s="1"/>
  <c r="M347" i="1"/>
  <c r="M347" i="1" a="1"/>
  <c r="I347" i="1"/>
  <c r="H347" i="1"/>
  <c r="G347" i="1"/>
  <c r="F347" i="1"/>
  <c r="C347" i="1" a="1"/>
  <c r="C347" i="1" s="1"/>
  <c r="M346" i="1"/>
  <c r="M346" i="1" a="1"/>
  <c r="I346" i="1"/>
  <c r="H346" i="1"/>
  <c r="G346" i="1"/>
  <c r="F346" i="1"/>
  <c r="C346" i="1" a="1"/>
  <c r="C346" i="1" s="1"/>
  <c r="M345" i="1"/>
  <c r="M345" i="1" a="1"/>
  <c r="I345" i="1"/>
  <c r="H345" i="1"/>
  <c r="G345" i="1"/>
  <c r="F345" i="1"/>
  <c r="C345" i="1" a="1"/>
  <c r="C345" i="1" s="1"/>
  <c r="M344" i="1"/>
  <c r="M344" i="1" a="1"/>
  <c r="I344" i="1"/>
  <c r="H344" i="1"/>
  <c r="G344" i="1"/>
  <c r="F344" i="1"/>
  <c r="C344" i="1" a="1"/>
  <c r="C344" i="1" s="1"/>
  <c r="M343" i="1"/>
  <c r="M343" i="1" a="1"/>
  <c r="I343" i="1"/>
  <c r="H343" i="1"/>
  <c r="G343" i="1"/>
  <c r="F343" i="1"/>
  <c r="C343" i="1" a="1"/>
  <c r="C343" i="1" s="1"/>
  <c r="M342" i="1"/>
  <c r="M342" i="1" a="1"/>
  <c r="I342" i="1"/>
  <c r="H342" i="1"/>
  <c r="G342" i="1"/>
  <c r="F342" i="1"/>
  <c r="C342" i="1" a="1"/>
  <c r="C342" i="1" s="1"/>
  <c r="M341" i="1"/>
  <c r="M341" i="1" a="1"/>
  <c r="I341" i="1"/>
  <c r="H341" i="1"/>
  <c r="G341" i="1"/>
  <c r="F341" i="1"/>
  <c r="C341" i="1" a="1"/>
  <c r="C341" i="1" s="1"/>
  <c r="M340" i="1"/>
  <c r="M340" i="1" a="1"/>
  <c r="I340" i="1"/>
  <c r="H340" i="1"/>
  <c r="G340" i="1"/>
  <c r="F340" i="1"/>
  <c r="C340" i="1" a="1"/>
  <c r="C340" i="1" s="1"/>
  <c r="M339" i="1"/>
  <c r="M339" i="1" a="1"/>
  <c r="I339" i="1"/>
  <c r="H339" i="1"/>
  <c r="G339" i="1"/>
  <c r="F339" i="1"/>
  <c r="C339" i="1" a="1"/>
  <c r="C339" i="1" s="1"/>
  <c r="M338" i="1"/>
  <c r="M338" i="1" a="1"/>
  <c r="I338" i="1"/>
  <c r="H338" i="1"/>
  <c r="G338" i="1"/>
  <c r="F338" i="1"/>
  <c r="C338" i="1" a="1"/>
  <c r="C338" i="1" s="1"/>
  <c r="M337" i="1"/>
  <c r="M337" i="1" a="1"/>
  <c r="I337" i="1"/>
  <c r="H337" i="1"/>
  <c r="G337" i="1"/>
  <c r="F337" i="1"/>
  <c r="C337" i="1" a="1"/>
  <c r="C337" i="1" s="1"/>
  <c r="M336" i="1"/>
  <c r="M336" i="1" a="1"/>
  <c r="I336" i="1"/>
  <c r="H336" i="1"/>
  <c r="G336" i="1"/>
  <c r="F336" i="1"/>
  <c r="C336" i="1" a="1"/>
  <c r="C336" i="1" s="1"/>
  <c r="M335" i="1"/>
  <c r="M335" i="1" a="1"/>
  <c r="I335" i="1"/>
  <c r="H335" i="1"/>
  <c r="G335" i="1"/>
  <c r="F335" i="1"/>
  <c r="C335" i="1" a="1"/>
  <c r="C335" i="1" s="1"/>
  <c r="M334" i="1"/>
  <c r="M334" i="1" a="1"/>
  <c r="I334" i="1"/>
  <c r="H334" i="1"/>
  <c r="G334" i="1"/>
  <c r="F334" i="1"/>
  <c r="C334" i="1" a="1"/>
  <c r="C334" i="1" s="1"/>
  <c r="M333" i="1"/>
  <c r="M333" i="1" a="1"/>
  <c r="I333" i="1"/>
  <c r="H333" i="1"/>
  <c r="G333" i="1"/>
  <c r="F333" i="1"/>
  <c r="C333" i="1" a="1"/>
  <c r="C333" i="1" s="1"/>
  <c r="M332" i="1"/>
  <c r="M332" i="1" a="1"/>
  <c r="I332" i="1"/>
  <c r="H332" i="1"/>
  <c r="G332" i="1"/>
  <c r="F332" i="1"/>
  <c r="C332" i="1" a="1"/>
  <c r="C332" i="1" s="1"/>
  <c r="M331" i="1"/>
  <c r="M331" i="1" a="1"/>
  <c r="I331" i="1"/>
  <c r="H331" i="1"/>
  <c r="G331" i="1"/>
  <c r="F331" i="1"/>
  <c r="C331" i="1" a="1"/>
  <c r="C331" i="1" s="1"/>
  <c r="M330" i="1"/>
  <c r="M330" i="1" a="1"/>
  <c r="I330" i="1"/>
  <c r="H330" i="1"/>
  <c r="G330" i="1"/>
  <c r="F330" i="1"/>
  <c r="C330" i="1" a="1"/>
  <c r="C330" i="1" s="1"/>
  <c r="M329" i="1"/>
  <c r="M329" i="1" a="1"/>
  <c r="I329" i="1"/>
  <c r="H329" i="1"/>
  <c r="G329" i="1"/>
  <c r="F329" i="1"/>
  <c r="C329" i="1" a="1"/>
  <c r="C329" i="1" s="1"/>
  <c r="M328" i="1"/>
  <c r="M328" i="1" a="1"/>
  <c r="I328" i="1"/>
  <c r="H328" i="1"/>
  <c r="G328" i="1"/>
  <c r="F328" i="1"/>
  <c r="C328" i="1" a="1"/>
  <c r="C328" i="1" s="1"/>
  <c r="M327" i="1"/>
  <c r="M327" i="1" a="1"/>
  <c r="I327" i="1"/>
  <c r="H327" i="1"/>
  <c r="G327" i="1"/>
  <c r="F327" i="1"/>
  <c r="C327" i="1" a="1"/>
  <c r="C327" i="1" s="1"/>
  <c r="M326" i="1"/>
  <c r="M326" i="1" a="1"/>
  <c r="I326" i="1"/>
  <c r="H326" i="1"/>
  <c r="G326" i="1"/>
  <c r="F326" i="1"/>
  <c r="C326" i="1" a="1"/>
  <c r="C326" i="1" s="1"/>
  <c r="M325" i="1"/>
  <c r="M325" i="1" a="1"/>
  <c r="I325" i="1"/>
  <c r="H325" i="1"/>
  <c r="G325" i="1"/>
  <c r="F325" i="1"/>
  <c r="C325" i="1" a="1"/>
  <c r="C325" i="1" s="1"/>
  <c r="M324" i="1"/>
  <c r="M324" i="1" a="1"/>
  <c r="I324" i="1"/>
  <c r="H324" i="1"/>
  <c r="G324" i="1"/>
  <c r="F324" i="1"/>
  <c r="C324" i="1" a="1"/>
  <c r="C324" i="1" s="1"/>
  <c r="M323" i="1"/>
  <c r="M323" i="1" a="1"/>
  <c r="I323" i="1"/>
  <c r="H323" i="1"/>
  <c r="G323" i="1"/>
  <c r="F323" i="1"/>
  <c r="C323" i="1" a="1"/>
  <c r="C323" i="1" s="1"/>
  <c r="M322" i="1"/>
  <c r="M322" i="1" a="1"/>
  <c r="I322" i="1"/>
  <c r="H322" i="1"/>
  <c r="G322" i="1"/>
  <c r="F322" i="1"/>
  <c r="C322" i="1" a="1"/>
  <c r="C322" i="1" s="1"/>
  <c r="M321" i="1"/>
  <c r="M321" i="1" a="1"/>
  <c r="I321" i="1"/>
  <c r="H321" i="1"/>
  <c r="G321" i="1"/>
  <c r="F321" i="1"/>
  <c r="C321" i="1" a="1"/>
  <c r="C321" i="1" s="1"/>
  <c r="M320" i="1"/>
  <c r="M320" i="1" a="1"/>
  <c r="I320" i="1"/>
  <c r="H320" i="1"/>
  <c r="G320" i="1"/>
  <c r="F320" i="1"/>
  <c r="C320" i="1" a="1"/>
  <c r="C320" i="1" s="1"/>
  <c r="M319" i="1"/>
  <c r="M319" i="1" a="1"/>
  <c r="I319" i="1"/>
  <c r="H319" i="1"/>
  <c r="G319" i="1"/>
  <c r="F319" i="1"/>
  <c r="C319" i="1" a="1"/>
  <c r="C319" i="1" s="1"/>
  <c r="M318" i="1"/>
  <c r="M318" i="1" a="1"/>
  <c r="I318" i="1"/>
  <c r="H318" i="1"/>
  <c r="G318" i="1"/>
  <c r="F318" i="1"/>
  <c r="C318" i="1" a="1"/>
  <c r="C318" i="1" s="1"/>
  <c r="M317" i="1"/>
  <c r="M317" i="1" a="1"/>
  <c r="I317" i="1"/>
  <c r="H317" i="1"/>
  <c r="G317" i="1"/>
  <c r="F317" i="1"/>
  <c r="C317" i="1" a="1"/>
  <c r="C317" i="1" s="1"/>
  <c r="M316" i="1"/>
  <c r="M316" i="1" a="1"/>
  <c r="I316" i="1"/>
  <c r="H316" i="1"/>
  <c r="G316" i="1"/>
  <c r="F316" i="1"/>
  <c r="C316" i="1" a="1"/>
  <c r="C316" i="1" s="1"/>
  <c r="M315" i="1"/>
  <c r="M315" i="1" a="1"/>
  <c r="I315" i="1"/>
  <c r="H315" i="1"/>
  <c r="G315" i="1"/>
  <c r="F315" i="1"/>
  <c r="C315" i="1" a="1"/>
  <c r="C315" i="1" s="1"/>
  <c r="M314" i="1"/>
  <c r="M314" i="1" a="1"/>
  <c r="I314" i="1"/>
  <c r="H314" i="1"/>
  <c r="G314" i="1"/>
  <c r="F314" i="1"/>
  <c r="C314" i="1" a="1"/>
  <c r="C314" i="1" s="1"/>
  <c r="M313" i="1"/>
  <c r="M313" i="1" a="1"/>
  <c r="I313" i="1"/>
  <c r="H313" i="1"/>
  <c r="G313" i="1"/>
  <c r="F313" i="1"/>
  <c r="C313" i="1" a="1"/>
  <c r="C313" i="1" s="1"/>
  <c r="M312" i="1"/>
  <c r="M312" i="1" a="1"/>
  <c r="I312" i="1"/>
  <c r="H312" i="1"/>
  <c r="G312" i="1"/>
  <c r="F312" i="1"/>
  <c r="C312" i="1" a="1"/>
  <c r="C312" i="1" s="1"/>
  <c r="M311" i="1"/>
  <c r="M311" i="1" a="1"/>
  <c r="I311" i="1"/>
  <c r="H311" i="1"/>
  <c r="G311" i="1"/>
  <c r="F311" i="1"/>
  <c r="C311" i="1" a="1"/>
  <c r="C311" i="1" s="1"/>
  <c r="M310" i="1"/>
  <c r="M310" i="1" a="1"/>
  <c r="I310" i="1"/>
  <c r="H310" i="1"/>
  <c r="G310" i="1"/>
  <c r="F310" i="1"/>
  <c r="C310" i="1" a="1"/>
  <c r="C310" i="1" s="1"/>
  <c r="M309" i="1"/>
  <c r="M309" i="1" a="1"/>
  <c r="I309" i="1"/>
  <c r="H309" i="1"/>
  <c r="G309" i="1"/>
  <c r="F309" i="1"/>
  <c r="C309" i="1" a="1"/>
  <c r="C309" i="1" s="1"/>
  <c r="M308" i="1"/>
  <c r="M308" i="1" a="1"/>
  <c r="I308" i="1"/>
  <c r="H308" i="1"/>
  <c r="G308" i="1"/>
  <c r="F308" i="1"/>
  <c r="C308" i="1" a="1"/>
  <c r="C308" i="1" s="1"/>
  <c r="M307" i="1" a="1"/>
  <c r="M307" i="1" s="1"/>
  <c r="I307" i="1"/>
  <c r="H307" i="1"/>
  <c r="G307" i="1"/>
  <c r="F307" i="1"/>
  <c r="C307" i="1" a="1"/>
  <c r="C307" i="1" s="1"/>
  <c r="M306" i="1"/>
  <c r="M306" i="1" a="1"/>
  <c r="I306" i="1"/>
  <c r="H306" i="1"/>
  <c r="G306" i="1"/>
  <c r="F306" i="1"/>
  <c r="C306" i="1" a="1"/>
  <c r="C306" i="1" s="1"/>
  <c r="M305" i="1" a="1"/>
  <c r="M305" i="1" s="1"/>
  <c r="I305" i="1"/>
  <c r="H305" i="1"/>
  <c r="G305" i="1"/>
  <c r="F305" i="1"/>
  <c r="C305" i="1" a="1"/>
  <c r="C305" i="1" s="1"/>
  <c r="M304" i="1" a="1"/>
  <c r="M304" i="1" s="1"/>
  <c r="I304" i="1"/>
  <c r="H304" i="1"/>
  <c r="G304" i="1"/>
  <c r="F304" i="1"/>
  <c r="C304" i="1" a="1"/>
  <c r="C304" i="1" s="1"/>
  <c r="M303" i="1" a="1"/>
  <c r="M303" i="1" s="1"/>
  <c r="I303" i="1"/>
  <c r="H303" i="1"/>
  <c r="G303" i="1"/>
  <c r="F303" i="1"/>
  <c r="C303" i="1" a="1"/>
  <c r="C303" i="1" s="1"/>
  <c r="M302" i="1"/>
  <c r="M302" i="1" a="1"/>
  <c r="I302" i="1"/>
  <c r="H302" i="1"/>
  <c r="G302" i="1"/>
  <c r="F302" i="1"/>
  <c r="C302" i="1" a="1"/>
  <c r="C302" i="1" s="1"/>
  <c r="M301" i="1" a="1"/>
  <c r="M301" i="1" s="1"/>
  <c r="I301" i="1"/>
  <c r="H301" i="1"/>
  <c r="G301" i="1"/>
  <c r="F301" i="1"/>
  <c r="C301" i="1" a="1"/>
  <c r="C301" i="1" s="1"/>
  <c r="M300" i="1" a="1"/>
  <c r="M300" i="1" s="1"/>
  <c r="I300" i="1"/>
  <c r="H300" i="1"/>
  <c r="G300" i="1"/>
  <c r="F300" i="1"/>
  <c r="C300" i="1" a="1"/>
  <c r="C300" i="1" s="1"/>
  <c r="M299" i="1" a="1"/>
  <c r="M299" i="1" s="1"/>
  <c r="I299" i="1"/>
  <c r="H299" i="1"/>
  <c r="G299" i="1"/>
  <c r="F299" i="1"/>
  <c r="C299" i="1" a="1"/>
  <c r="C299" i="1" s="1"/>
  <c r="M298" i="1"/>
  <c r="M298" i="1" a="1"/>
  <c r="I298" i="1"/>
  <c r="H298" i="1"/>
  <c r="G298" i="1"/>
  <c r="F298" i="1"/>
  <c r="C298" i="1" a="1"/>
  <c r="C298" i="1" s="1"/>
  <c r="M297" i="1" a="1"/>
  <c r="M297" i="1" s="1"/>
  <c r="I297" i="1"/>
  <c r="H297" i="1"/>
  <c r="G297" i="1"/>
  <c r="F297" i="1"/>
  <c r="C297" i="1" a="1"/>
  <c r="C297" i="1" s="1"/>
  <c r="M296" i="1" a="1"/>
  <c r="M296" i="1" s="1"/>
  <c r="I296" i="1"/>
  <c r="H296" i="1"/>
  <c r="G296" i="1"/>
  <c r="F296" i="1"/>
  <c r="C296" i="1" a="1"/>
  <c r="C296" i="1" s="1"/>
  <c r="M295" i="1" a="1"/>
  <c r="M295" i="1" s="1"/>
  <c r="I295" i="1"/>
  <c r="H295" i="1"/>
  <c r="G295" i="1"/>
  <c r="F295" i="1"/>
  <c r="C295" i="1" a="1"/>
  <c r="C295" i="1" s="1"/>
  <c r="M294" i="1"/>
  <c r="M294" i="1" a="1"/>
  <c r="I294" i="1"/>
  <c r="H294" i="1"/>
  <c r="G294" i="1"/>
  <c r="F294" i="1"/>
  <c r="C294" i="1" a="1"/>
  <c r="C294" i="1" s="1"/>
  <c r="M293" i="1" a="1"/>
  <c r="M293" i="1" s="1"/>
  <c r="I293" i="1"/>
  <c r="H293" i="1"/>
  <c r="G293" i="1"/>
  <c r="F293" i="1"/>
  <c r="C293" i="1" a="1"/>
  <c r="C293" i="1" s="1"/>
  <c r="M292" i="1"/>
  <c r="M292" i="1" a="1"/>
  <c r="I292" i="1"/>
  <c r="H292" i="1"/>
  <c r="G292" i="1"/>
  <c r="F292" i="1"/>
  <c r="C292" i="1" a="1"/>
  <c r="C292" i="1" s="1"/>
  <c r="M291" i="1" a="1"/>
  <c r="M291" i="1" s="1"/>
  <c r="I291" i="1"/>
  <c r="H291" i="1"/>
  <c r="G291" i="1"/>
  <c r="F291" i="1"/>
  <c r="C291" i="1" a="1"/>
  <c r="C291" i="1" s="1"/>
  <c r="M290" i="1"/>
  <c r="M290" i="1" a="1"/>
  <c r="I290" i="1"/>
  <c r="H290" i="1"/>
  <c r="G290" i="1"/>
  <c r="F290" i="1"/>
  <c r="C290" i="1" a="1"/>
  <c r="C290" i="1" s="1"/>
  <c r="M289" i="1" a="1"/>
  <c r="M289" i="1" s="1"/>
  <c r="I289" i="1"/>
  <c r="H289" i="1"/>
  <c r="G289" i="1"/>
  <c r="F289" i="1"/>
  <c r="C289" i="1" a="1"/>
  <c r="C289" i="1" s="1"/>
  <c r="M288" i="1"/>
  <c r="M288" i="1" a="1"/>
  <c r="I288" i="1"/>
  <c r="H288" i="1"/>
  <c r="G288" i="1"/>
  <c r="F288" i="1"/>
  <c r="C288" i="1" a="1"/>
  <c r="C288" i="1" s="1"/>
  <c r="M287" i="1" a="1"/>
  <c r="M287" i="1" s="1"/>
  <c r="I287" i="1"/>
  <c r="H287" i="1"/>
  <c r="G287" i="1"/>
  <c r="F287" i="1"/>
  <c r="C287" i="1" a="1"/>
  <c r="C287" i="1" s="1"/>
  <c r="M286" i="1"/>
  <c r="M286" i="1" a="1"/>
  <c r="I286" i="1"/>
  <c r="H286" i="1"/>
  <c r="G286" i="1"/>
  <c r="F286" i="1"/>
  <c r="C286" i="1" a="1"/>
  <c r="C286" i="1" s="1"/>
  <c r="M285" i="1" a="1"/>
  <c r="M285" i="1" s="1"/>
  <c r="I285" i="1"/>
  <c r="H285" i="1"/>
  <c r="G285" i="1"/>
  <c r="F285" i="1"/>
  <c r="C285" i="1" a="1"/>
  <c r="C285" i="1" s="1"/>
  <c r="M284" i="1"/>
  <c r="M284" i="1" a="1"/>
  <c r="I284" i="1"/>
  <c r="H284" i="1"/>
  <c r="G284" i="1"/>
  <c r="F284" i="1"/>
  <c r="C284" i="1" a="1"/>
  <c r="C284" i="1" s="1"/>
  <c r="M283" i="1" a="1"/>
  <c r="M283" i="1" s="1"/>
  <c r="I283" i="1"/>
  <c r="H283" i="1"/>
  <c r="G283" i="1"/>
  <c r="F283" i="1"/>
  <c r="C283" i="1" a="1"/>
  <c r="C283" i="1" s="1"/>
  <c r="M282" i="1"/>
  <c r="M282" i="1" a="1"/>
  <c r="I282" i="1"/>
  <c r="H282" i="1"/>
  <c r="G282" i="1"/>
  <c r="F282" i="1"/>
  <c r="C282" i="1" a="1"/>
  <c r="C282" i="1" s="1"/>
  <c r="M281" i="1" a="1"/>
  <c r="M281" i="1" s="1"/>
  <c r="I281" i="1"/>
  <c r="H281" i="1"/>
  <c r="G281" i="1"/>
  <c r="F281" i="1"/>
  <c r="C281" i="1" a="1"/>
  <c r="C281" i="1" s="1"/>
  <c r="M280" i="1"/>
  <c r="M280" i="1" a="1"/>
  <c r="I280" i="1"/>
  <c r="H280" i="1"/>
  <c r="G280" i="1"/>
  <c r="F280" i="1"/>
  <c r="C280" i="1" a="1"/>
  <c r="C280" i="1" s="1"/>
  <c r="M279" i="1" a="1"/>
  <c r="M279" i="1" s="1"/>
  <c r="I279" i="1"/>
  <c r="H279" i="1"/>
  <c r="G279" i="1"/>
  <c r="F279" i="1"/>
  <c r="C279" i="1" a="1"/>
  <c r="C279" i="1" s="1"/>
  <c r="M278" i="1"/>
  <c r="M278" i="1" a="1"/>
  <c r="I278" i="1"/>
  <c r="H278" i="1"/>
  <c r="G278" i="1"/>
  <c r="F278" i="1"/>
  <c r="C278" i="1" a="1"/>
  <c r="C278" i="1" s="1"/>
  <c r="M277" i="1" a="1"/>
  <c r="M277" i="1" s="1"/>
  <c r="I277" i="1"/>
  <c r="H277" i="1"/>
  <c r="G277" i="1"/>
  <c r="F277" i="1"/>
  <c r="C277" i="1" a="1"/>
  <c r="C277" i="1" s="1"/>
  <c r="M276" i="1"/>
  <c r="M276" i="1" a="1"/>
  <c r="I276" i="1"/>
  <c r="H276" i="1"/>
  <c r="G276" i="1"/>
  <c r="F276" i="1"/>
  <c r="C276" i="1" a="1"/>
  <c r="C276" i="1" s="1"/>
  <c r="M275" i="1" a="1"/>
  <c r="M275" i="1" s="1"/>
  <c r="I275" i="1"/>
  <c r="H275" i="1"/>
  <c r="G275" i="1"/>
  <c r="F275" i="1"/>
  <c r="C275" i="1" a="1"/>
  <c r="C275" i="1" s="1"/>
  <c r="M274" i="1"/>
  <c r="M274" i="1" a="1"/>
  <c r="I274" i="1"/>
  <c r="H274" i="1"/>
  <c r="G274" i="1"/>
  <c r="F274" i="1"/>
  <c r="C274" i="1" a="1"/>
  <c r="C274" i="1" s="1"/>
  <c r="M273" i="1" a="1"/>
  <c r="M273" i="1" s="1"/>
  <c r="I273" i="1"/>
  <c r="H273" i="1"/>
  <c r="G273" i="1"/>
  <c r="F273" i="1"/>
  <c r="C273" i="1" a="1"/>
  <c r="C273" i="1" s="1"/>
  <c r="M272" i="1"/>
  <c r="M272" i="1" a="1"/>
  <c r="I272" i="1"/>
  <c r="H272" i="1"/>
  <c r="G272" i="1"/>
  <c r="F272" i="1"/>
  <c r="C272" i="1" a="1"/>
  <c r="C272" i="1" s="1"/>
  <c r="M271" i="1" a="1"/>
  <c r="M271" i="1" s="1"/>
  <c r="I271" i="1"/>
  <c r="H271" i="1"/>
  <c r="G271" i="1"/>
  <c r="F271" i="1"/>
  <c r="C271" i="1" a="1"/>
  <c r="C271" i="1" s="1"/>
  <c r="M270" i="1"/>
  <c r="M270" i="1" a="1"/>
  <c r="I270" i="1"/>
  <c r="H270" i="1"/>
  <c r="G270" i="1"/>
  <c r="F270" i="1"/>
  <c r="C270" i="1" a="1"/>
  <c r="C270" i="1" s="1"/>
  <c r="M269" i="1" a="1"/>
  <c r="M269" i="1" s="1"/>
  <c r="I269" i="1"/>
  <c r="H269" i="1"/>
  <c r="G269" i="1"/>
  <c r="F269" i="1"/>
  <c r="C269" i="1" a="1"/>
  <c r="C269" i="1" s="1"/>
  <c r="M268" i="1"/>
  <c r="M268" i="1" a="1"/>
  <c r="I268" i="1"/>
  <c r="H268" i="1"/>
  <c r="G268" i="1"/>
  <c r="F268" i="1"/>
  <c r="C268" i="1" a="1"/>
  <c r="C268" i="1" s="1"/>
  <c r="M267" i="1" a="1"/>
  <c r="M267" i="1" s="1"/>
  <c r="I267" i="1"/>
  <c r="H267" i="1"/>
  <c r="G267" i="1"/>
  <c r="F267" i="1"/>
  <c r="C267" i="1" a="1"/>
  <c r="C267" i="1" s="1"/>
  <c r="M266" i="1"/>
  <c r="M266" i="1" a="1"/>
  <c r="I266" i="1"/>
  <c r="H266" i="1"/>
  <c r="G266" i="1"/>
  <c r="F266" i="1"/>
  <c r="C266" i="1" a="1"/>
  <c r="C266" i="1" s="1"/>
  <c r="M265" i="1" a="1"/>
  <c r="M265" i="1" s="1"/>
  <c r="I265" i="1"/>
  <c r="H265" i="1"/>
  <c r="G265" i="1"/>
  <c r="F265" i="1"/>
  <c r="C265" i="1" a="1"/>
  <c r="C265" i="1" s="1"/>
  <c r="M264" i="1"/>
  <c r="M264" i="1" a="1"/>
  <c r="I264" i="1"/>
  <c r="H264" i="1"/>
  <c r="G264" i="1"/>
  <c r="F264" i="1"/>
  <c r="C264" i="1" a="1"/>
  <c r="C264" i="1" s="1"/>
  <c r="M263" i="1" a="1"/>
  <c r="M263" i="1" s="1"/>
  <c r="I263" i="1"/>
  <c r="H263" i="1"/>
  <c r="G263" i="1"/>
  <c r="F263" i="1"/>
  <c r="C263" i="1" a="1"/>
  <c r="C263" i="1" s="1"/>
  <c r="M262" i="1"/>
  <c r="M262" i="1" a="1"/>
  <c r="I262" i="1"/>
  <c r="H262" i="1"/>
  <c r="G262" i="1"/>
  <c r="F262" i="1"/>
  <c r="C262" i="1" a="1"/>
  <c r="C262" i="1" s="1"/>
  <c r="M261" i="1" a="1"/>
  <c r="M261" i="1" s="1"/>
  <c r="I261" i="1"/>
  <c r="H261" i="1"/>
  <c r="G261" i="1"/>
  <c r="F261" i="1"/>
  <c r="C261" i="1" a="1"/>
  <c r="C261" i="1" s="1"/>
  <c r="M260" i="1"/>
  <c r="M260" i="1" a="1"/>
  <c r="I260" i="1"/>
  <c r="H260" i="1"/>
  <c r="G260" i="1"/>
  <c r="F260" i="1"/>
  <c r="C260" i="1" a="1"/>
  <c r="C260" i="1" s="1"/>
  <c r="M259" i="1" a="1"/>
  <c r="M259" i="1" s="1"/>
  <c r="I259" i="1"/>
  <c r="H259" i="1"/>
  <c r="G259" i="1"/>
  <c r="F259" i="1"/>
  <c r="C259" i="1" a="1"/>
  <c r="C259" i="1" s="1"/>
  <c r="M258" i="1"/>
  <c r="M258" i="1" a="1"/>
  <c r="I258" i="1"/>
  <c r="H258" i="1"/>
  <c r="G258" i="1"/>
  <c r="F258" i="1"/>
  <c r="C258" i="1" a="1"/>
  <c r="C258" i="1" s="1"/>
  <c r="M257" i="1" a="1"/>
  <c r="M257" i="1" s="1"/>
  <c r="I257" i="1"/>
  <c r="H257" i="1"/>
  <c r="G257" i="1"/>
  <c r="F257" i="1"/>
  <c r="C257" i="1" a="1"/>
  <c r="C257" i="1" s="1"/>
  <c r="M256" i="1"/>
  <c r="M256" i="1" a="1"/>
  <c r="I256" i="1"/>
  <c r="H256" i="1"/>
  <c r="G256" i="1"/>
  <c r="F256" i="1"/>
  <c r="C256" i="1" a="1"/>
  <c r="C256" i="1" s="1"/>
  <c r="M255" i="1" a="1"/>
  <c r="M255" i="1" s="1"/>
  <c r="I255" i="1"/>
  <c r="H255" i="1"/>
  <c r="G255" i="1"/>
  <c r="F255" i="1"/>
  <c r="C255" i="1" a="1"/>
  <c r="C255" i="1" s="1"/>
  <c r="M254" i="1"/>
  <c r="M254" i="1" a="1"/>
  <c r="I254" i="1"/>
  <c r="H254" i="1"/>
  <c r="G254" i="1"/>
  <c r="F254" i="1"/>
  <c r="C254" i="1" a="1"/>
  <c r="C254" i="1" s="1"/>
  <c r="M253" i="1" a="1"/>
  <c r="M253" i="1" s="1"/>
  <c r="I253" i="1"/>
  <c r="H253" i="1"/>
  <c r="G253" i="1"/>
  <c r="F253" i="1"/>
  <c r="C253" i="1" a="1"/>
  <c r="C253" i="1" s="1"/>
  <c r="M252" i="1"/>
  <c r="M252" i="1" a="1"/>
  <c r="I252" i="1"/>
  <c r="H252" i="1"/>
  <c r="G252" i="1"/>
  <c r="F252" i="1"/>
  <c r="C252" i="1" a="1"/>
  <c r="C252" i="1" s="1"/>
  <c r="M251" i="1" a="1"/>
  <c r="M251" i="1" s="1"/>
  <c r="I251" i="1"/>
  <c r="H251" i="1"/>
  <c r="G251" i="1"/>
  <c r="F251" i="1"/>
  <c r="C251" i="1" a="1"/>
  <c r="C251" i="1" s="1"/>
  <c r="M250" i="1"/>
  <c r="M250" i="1" a="1"/>
  <c r="I250" i="1"/>
  <c r="H250" i="1"/>
  <c r="G250" i="1"/>
  <c r="F250" i="1"/>
  <c r="C250" i="1" a="1"/>
  <c r="C250" i="1" s="1"/>
  <c r="M249" i="1" a="1"/>
  <c r="M249" i="1" s="1"/>
  <c r="I249" i="1"/>
  <c r="H249" i="1"/>
  <c r="G249" i="1"/>
  <c r="F249" i="1"/>
  <c r="C249" i="1" a="1"/>
  <c r="C249" i="1" s="1"/>
  <c r="M248" i="1"/>
  <c r="M248" i="1" a="1"/>
  <c r="I248" i="1"/>
  <c r="H248" i="1"/>
  <c r="G248" i="1"/>
  <c r="F248" i="1"/>
  <c r="C248" i="1" a="1"/>
  <c r="C248" i="1" s="1"/>
  <c r="M247" i="1" a="1"/>
  <c r="M247" i="1" s="1"/>
  <c r="I247" i="1"/>
  <c r="H247" i="1"/>
  <c r="G247" i="1"/>
  <c r="F247" i="1"/>
  <c r="C247" i="1" a="1"/>
  <c r="C247" i="1" s="1"/>
  <c r="M246" i="1"/>
  <c r="M246" i="1" a="1"/>
  <c r="I246" i="1"/>
  <c r="H246" i="1"/>
  <c r="G246" i="1"/>
  <c r="F246" i="1"/>
  <c r="C246" i="1" a="1"/>
  <c r="C246" i="1" s="1"/>
  <c r="M245" i="1" a="1"/>
  <c r="M245" i="1" s="1"/>
  <c r="I245" i="1"/>
  <c r="H245" i="1"/>
  <c r="G245" i="1"/>
  <c r="F245" i="1"/>
  <c r="C245" i="1" a="1"/>
  <c r="C245" i="1" s="1"/>
  <c r="M244" i="1"/>
  <c r="M244" i="1" a="1"/>
  <c r="I244" i="1"/>
  <c r="H244" i="1"/>
  <c r="G244" i="1"/>
  <c r="F244" i="1"/>
  <c r="C244" i="1" a="1"/>
  <c r="C244" i="1" s="1"/>
  <c r="M243" i="1" a="1"/>
  <c r="M243" i="1" s="1"/>
  <c r="I243" i="1"/>
  <c r="H243" i="1"/>
  <c r="G243" i="1"/>
  <c r="F243" i="1"/>
  <c r="C243" i="1" a="1"/>
  <c r="C243" i="1" s="1"/>
  <c r="M242" i="1"/>
  <c r="M242" i="1" a="1"/>
  <c r="I242" i="1"/>
  <c r="H242" i="1"/>
  <c r="G242" i="1"/>
  <c r="F242" i="1"/>
  <c r="C242" i="1" a="1"/>
  <c r="C242" i="1" s="1"/>
  <c r="M241" i="1" a="1"/>
  <c r="M241" i="1" s="1"/>
  <c r="I241" i="1"/>
  <c r="H241" i="1"/>
  <c r="G241" i="1"/>
  <c r="F241" i="1"/>
  <c r="C241" i="1" a="1"/>
  <c r="C241" i="1" s="1"/>
  <c r="M240" i="1"/>
  <c r="M240" i="1" a="1"/>
  <c r="I240" i="1"/>
  <c r="H240" i="1"/>
  <c r="G240" i="1"/>
  <c r="F240" i="1"/>
  <c r="C240" i="1" a="1"/>
  <c r="C240" i="1" s="1"/>
  <c r="M239" i="1" a="1"/>
  <c r="M239" i="1" s="1"/>
  <c r="I239" i="1"/>
  <c r="H239" i="1"/>
  <c r="G239" i="1"/>
  <c r="F239" i="1"/>
  <c r="C239" i="1" a="1"/>
  <c r="C239" i="1" s="1"/>
  <c r="M238" i="1"/>
  <c r="M238" i="1" a="1"/>
  <c r="I238" i="1"/>
  <c r="H238" i="1"/>
  <c r="G238" i="1"/>
  <c r="F238" i="1"/>
  <c r="C238" i="1" a="1"/>
  <c r="C238" i="1" s="1"/>
  <c r="M237" i="1" a="1"/>
  <c r="M237" i="1" s="1"/>
  <c r="I237" i="1"/>
  <c r="H237" i="1"/>
  <c r="G237" i="1"/>
  <c r="F237" i="1"/>
  <c r="C237" i="1" a="1"/>
  <c r="C237" i="1" s="1"/>
  <c r="M236" i="1"/>
  <c r="M236" i="1" a="1"/>
  <c r="I236" i="1"/>
  <c r="H236" i="1"/>
  <c r="G236" i="1"/>
  <c r="F236" i="1"/>
  <c r="C236" i="1" a="1"/>
  <c r="C236" i="1" s="1"/>
  <c r="M235" i="1" a="1"/>
  <c r="M235" i="1" s="1"/>
  <c r="I235" i="1"/>
  <c r="H235" i="1"/>
  <c r="G235" i="1"/>
  <c r="F235" i="1"/>
  <c r="C235" i="1" a="1"/>
  <c r="C235" i="1" s="1"/>
  <c r="M234" i="1"/>
  <c r="M234" i="1" a="1"/>
  <c r="I234" i="1"/>
  <c r="H234" i="1"/>
  <c r="G234" i="1"/>
  <c r="F234" i="1"/>
  <c r="C234" i="1" a="1"/>
  <c r="C234" i="1" s="1"/>
  <c r="M233" i="1" a="1"/>
  <c r="M233" i="1" s="1"/>
  <c r="I233" i="1"/>
  <c r="H233" i="1"/>
  <c r="G233" i="1"/>
  <c r="F233" i="1"/>
  <c r="C233" i="1" a="1"/>
  <c r="C233" i="1" s="1"/>
  <c r="M232" i="1"/>
  <c r="M232" i="1" a="1"/>
  <c r="I232" i="1"/>
  <c r="H232" i="1"/>
  <c r="G232" i="1"/>
  <c r="F232" i="1"/>
  <c r="C232" i="1" a="1"/>
  <c r="C232" i="1" s="1"/>
  <c r="M231" i="1" a="1"/>
  <c r="M231" i="1" s="1"/>
  <c r="I231" i="1"/>
  <c r="H231" i="1"/>
  <c r="G231" i="1"/>
  <c r="F231" i="1"/>
  <c r="C231" i="1" a="1"/>
  <c r="C231" i="1" s="1"/>
  <c r="M230" i="1"/>
  <c r="M230" i="1" a="1"/>
  <c r="I230" i="1"/>
  <c r="H230" i="1"/>
  <c r="G230" i="1"/>
  <c r="F230" i="1"/>
  <c r="C230" i="1" a="1"/>
  <c r="C230" i="1" s="1"/>
  <c r="M229" i="1" a="1"/>
  <c r="M229" i="1" s="1"/>
  <c r="I229" i="1"/>
  <c r="H229" i="1"/>
  <c r="G229" i="1"/>
  <c r="F229" i="1"/>
  <c r="C229" i="1" a="1"/>
  <c r="C229" i="1" s="1"/>
  <c r="M228" i="1"/>
  <c r="M228" i="1" a="1"/>
  <c r="I228" i="1"/>
  <c r="H228" i="1"/>
  <c r="G228" i="1"/>
  <c r="F228" i="1"/>
  <c r="C228" i="1" a="1"/>
  <c r="C228" i="1" s="1"/>
  <c r="M227" i="1" a="1"/>
  <c r="M227" i="1" s="1"/>
  <c r="I227" i="1"/>
  <c r="H227" i="1"/>
  <c r="G227" i="1"/>
  <c r="F227" i="1"/>
  <c r="C227" i="1" a="1"/>
  <c r="C227" i="1" s="1"/>
  <c r="M226" i="1"/>
  <c r="M226" i="1" a="1"/>
  <c r="I226" i="1"/>
  <c r="H226" i="1"/>
  <c r="G226" i="1"/>
  <c r="F226" i="1"/>
  <c r="C226" i="1" a="1"/>
  <c r="C226" i="1" s="1"/>
  <c r="M225" i="1" a="1"/>
  <c r="M225" i="1" s="1"/>
  <c r="I225" i="1"/>
  <c r="H225" i="1"/>
  <c r="G225" i="1"/>
  <c r="F225" i="1"/>
  <c r="C225" i="1" a="1"/>
  <c r="C225" i="1" s="1"/>
  <c r="M224" i="1"/>
  <c r="M224" i="1" a="1"/>
  <c r="I224" i="1"/>
  <c r="H224" i="1"/>
  <c r="G224" i="1"/>
  <c r="F224" i="1"/>
  <c r="C224" i="1" a="1"/>
  <c r="C224" i="1" s="1"/>
  <c r="M223" i="1" a="1"/>
  <c r="M223" i="1" s="1"/>
  <c r="I223" i="1"/>
  <c r="H223" i="1"/>
  <c r="G223" i="1"/>
  <c r="F223" i="1"/>
  <c r="C223" i="1" a="1"/>
  <c r="C223" i="1" s="1"/>
  <c r="M222" i="1"/>
  <c r="M222" i="1" a="1"/>
  <c r="I222" i="1"/>
  <c r="H222" i="1"/>
  <c r="G222" i="1"/>
  <c r="F222" i="1"/>
  <c r="C222" i="1" a="1"/>
  <c r="C222" i="1" s="1"/>
  <c r="M221" i="1" a="1"/>
  <c r="M221" i="1" s="1"/>
  <c r="I221" i="1"/>
  <c r="H221" i="1"/>
  <c r="G221" i="1"/>
  <c r="F221" i="1"/>
  <c r="C221" i="1" a="1"/>
  <c r="C221" i="1" s="1"/>
  <c r="M220" i="1"/>
  <c r="M220" i="1" a="1"/>
  <c r="I220" i="1"/>
  <c r="H220" i="1"/>
  <c r="G220" i="1"/>
  <c r="F220" i="1"/>
  <c r="C220" i="1" a="1"/>
  <c r="C220" i="1" s="1"/>
  <c r="M219" i="1" a="1"/>
  <c r="M219" i="1" s="1"/>
  <c r="I219" i="1"/>
  <c r="H219" i="1"/>
  <c r="G219" i="1"/>
  <c r="F219" i="1"/>
  <c r="C219" i="1" a="1"/>
  <c r="C219" i="1" s="1"/>
  <c r="M218" i="1"/>
  <c r="M218" i="1" a="1"/>
  <c r="I218" i="1"/>
  <c r="H218" i="1"/>
  <c r="G218" i="1"/>
  <c r="F218" i="1"/>
  <c r="C218" i="1" a="1"/>
  <c r="C218" i="1" s="1"/>
  <c r="M217" i="1" a="1"/>
  <c r="M217" i="1" s="1"/>
  <c r="I217" i="1"/>
  <c r="H217" i="1"/>
  <c r="G217" i="1"/>
  <c r="F217" i="1"/>
  <c r="C217" i="1" a="1"/>
  <c r="C217" i="1" s="1"/>
  <c r="M216" i="1"/>
  <c r="M216" i="1" a="1"/>
  <c r="I216" i="1"/>
  <c r="H216" i="1"/>
  <c r="G216" i="1"/>
  <c r="F216" i="1"/>
  <c r="C216" i="1" a="1"/>
  <c r="C216" i="1" s="1"/>
  <c r="M215" i="1" a="1"/>
  <c r="M215" i="1" s="1"/>
  <c r="I215" i="1"/>
  <c r="H215" i="1"/>
  <c r="G215" i="1"/>
  <c r="F215" i="1"/>
  <c r="C215" i="1" a="1"/>
  <c r="C215" i="1" s="1"/>
  <c r="M214" i="1"/>
  <c r="M214" i="1" a="1"/>
  <c r="I214" i="1"/>
  <c r="H214" i="1"/>
  <c r="G214" i="1"/>
  <c r="F214" i="1"/>
  <c r="C214" i="1" a="1"/>
  <c r="C214" i="1" s="1"/>
  <c r="M213" i="1" a="1"/>
  <c r="M213" i="1" s="1"/>
  <c r="I213" i="1"/>
  <c r="H213" i="1"/>
  <c r="G213" i="1"/>
  <c r="F213" i="1"/>
  <c r="C213" i="1" a="1"/>
  <c r="C213" i="1" s="1"/>
  <c r="M212" i="1"/>
  <c r="M212" i="1" a="1"/>
  <c r="I212" i="1"/>
  <c r="H212" i="1"/>
  <c r="G212" i="1"/>
  <c r="F212" i="1"/>
  <c r="C212" i="1" a="1"/>
  <c r="C212" i="1" s="1"/>
  <c r="M211" i="1" a="1"/>
  <c r="M211" i="1" s="1"/>
  <c r="I211" i="1"/>
  <c r="H211" i="1"/>
  <c r="G211" i="1"/>
  <c r="F211" i="1"/>
  <c r="C211" i="1" a="1"/>
  <c r="C211" i="1" s="1"/>
  <c r="M210" i="1"/>
  <c r="M210" i="1" a="1"/>
  <c r="I210" i="1"/>
  <c r="H210" i="1"/>
  <c r="G210" i="1"/>
  <c r="F210" i="1"/>
  <c r="C210" i="1" a="1"/>
  <c r="C210" i="1" s="1"/>
  <c r="M209" i="1" a="1"/>
  <c r="M209" i="1" s="1"/>
  <c r="I209" i="1"/>
  <c r="H209" i="1"/>
  <c r="G209" i="1"/>
  <c r="F209" i="1"/>
  <c r="C209" i="1" a="1"/>
  <c r="C209" i="1" s="1"/>
  <c r="M208" i="1"/>
  <c r="M208" i="1" a="1"/>
  <c r="I208" i="1"/>
  <c r="H208" i="1"/>
  <c r="G208" i="1"/>
  <c r="F208" i="1"/>
  <c r="C208" i="1" a="1"/>
  <c r="C208" i="1" s="1"/>
  <c r="M207" i="1" a="1"/>
  <c r="M207" i="1" s="1"/>
  <c r="I207" i="1"/>
  <c r="H207" i="1"/>
  <c r="G207" i="1"/>
  <c r="F207" i="1"/>
  <c r="C207" i="1" a="1"/>
  <c r="C207" i="1" s="1"/>
  <c r="M206" i="1"/>
  <c r="M206" i="1" a="1"/>
  <c r="I206" i="1"/>
  <c r="H206" i="1"/>
  <c r="G206" i="1"/>
  <c r="F206" i="1"/>
  <c r="C206" i="1" a="1"/>
  <c r="C206" i="1" s="1"/>
  <c r="M205" i="1" a="1"/>
  <c r="M205" i="1" s="1"/>
  <c r="I205" i="1"/>
  <c r="H205" i="1"/>
  <c r="G205" i="1"/>
  <c r="F205" i="1"/>
  <c r="C205" i="1" a="1"/>
  <c r="C205" i="1" s="1"/>
  <c r="M204" i="1"/>
  <c r="M204" i="1" a="1"/>
  <c r="I204" i="1"/>
  <c r="H204" i="1"/>
  <c r="G204" i="1"/>
  <c r="F204" i="1"/>
  <c r="C204" i="1" a="1"/>
  <c r="C204" i="1" s="1"/>
  <c r="M203" i="1" a="1"/>
  <c r="M203" i="1" s="1"/>
  <c r="I203" i="1"/>
  <c r="H203" i="1"/>
  <c r="G203" i="1"/>
  <c r="F203" i="1"/>
  <c r="C203" i="1" a="1"/>
  <c r="C203" i="1" s="1"/>
  <c r="M202" i="1"/>
  <c r="M202" i="1" a="1"/>
  <c r="I202" i="1"/>
  <c r="H202" i="1"/>
  <c r="G202" i="1"/>
  <c r="F202" i="1"/>
  <c r="C202" i="1" a="1"/>
  <c r="C202" i="1" s="1"/>
  <c r="M201" i="1" a="1"/>
  <c r="M201" i="1" s="1"/>
  <c r="I201" i="1"/>
  <c r="H201" i="1"/>
  <c r="G201" i="1"/>
  <c r="F201" i="1"/>
  <c r="C201" i="1" a="1"/>
  <c r="C201" i="1" s="1"/>
  <c r="M200" i="1"/>
  <c r="M200" i="1" a="1"/>
  <c r="I200" i="1"/>
  <c r="H200" i="1"/>
  <c r="G200" i="1"/>
  <c r="F200" i="1"/>
  <c r="C200" i="1" a="1"/>
  <c r="C200" i="1" s="1"/>
  <c r="M199" i="1" a="1"/>
  <c r="M199" i="1" s="1"/>
  <c r="I199" i="1"/>
  <c r="H199" i="1"/>
  <c r="G199" i="1"/>
  <c r="F199" i="1"/>
  <c r="C199" i="1" a="1"/>
  <c r="C199" i="1" s="1"/>
  <c r="M198" i="1"/>
  <c r="M198" i="1" a="1"/>
  <c r="I198" i="1"/>
  <c r="H198" i="1"/>
  <c r="G198" i="1"/>
  <c r="F198" i="1"/>
  <c r="C198" i="1" a="1"/>
  <c r="C198" i="1" s="1"/>
  <c r="M197" i="1" a="1"/>
  <c r="M197" i="1" s="1"/>
  <c r="I197" i="1"/>
  <c r="H197" i="1"/>
  <c r="G197" i="1"/>
  <c r="F197" i="1"/>
  <c r="C197" i="1" a="1"/>
  <c r="C197" i="1" s="1"/>
  <c r="M196" i="1"/>
  <c r="M196" i="1" a="1"/>
  <c r="I196" i="1"/>
  <c r="H196" i="1"/>
  <c r="G196" i="1"/>
  <c r="F196" i="1"/>
  <c r="C196" i="1" a="1"/>
  <c r="C196" i="1" s="1"/>
  <c r="M195" i="1" a="1"/>
  <c r="M195" i="1" s="1"/>
  <c r="I195" i="1"/>
  <c r="H195" i="1"/>
  <c r="G195" i="1"/>
  <c r="F195" i="1"/>
  <c r="C195" i="1" a="1"/>
  <c r="C195" i="1" s="1"/>
  <c r="M194" i="1"/>
  <c r="M194" i="1" a="1"/>
  <c r="I194" i="1"/>
  <c r="H194" i="1"/>
  <c r="G194" i="1"/>
  <c r="F194" i="1"/>
  <c r="C194" i="1" a="1"/>
  <c r="C194" i="1" s="1"/>
  <c r="M193" i="1" a="1"/>
  <c r="M193" i="1" s="1"/>
  <c r="I193" i="1"/>
  <c r="H193" i="1"/>
  <c r="G193" i="1"/>
  <c r="F193" i="1"/>
  <c r="C193" i="1" a="1"/>
  <c r="C193" i="1" s="1"/>
  <c r="M192" i="1"/>
  <c r="M192" i="1" a="1"/>
  <c r="I192" i="1"/>
  <c r="H192" i="1"/>
  <c r="G192" i="1"/>
  <c r="F192" i="1"/>
  <c r="C192" i="1" a="1"/>
  <c r="C192" i="1" s="1"/>
  <c r="M191" i="1" a="1"/>
  <c r="M191" i="1" s="1"/>
  <c r="I191" i="1"/>
  <c r="H191" i="1"/>
  <c r="G191" i="1"/>
  <c r="F191" i="1"/>
  <c r="C191" i="1" a="1"/>
  <c r="C191" i="1" s="1"/>
  <c r="M190" i="1"/>
  <c r="M190" i="1" a="1"/>
  <c r="I190" i="1"/>
  <c r="H190" i="1"/>
  <c r="G190" i="1"/>
  <c r="F190" i="1"/>
  <c r="C190" i="1" a="1"/>
  <c r="C190" i="1" s="1"/>
  <c r="M189" i="1" a="1"/>
  <c r="M189" i="1" s="1"/>
  <c r="I189" i="1"/>
  <c r="H189" i="1"/>
  <c r="G189" i="1"/>
  <c r="F189" i="1"/>
  <c r="C189" i="1" a="1"/>
  <c r="C189" i="1" s="1"/>
  <c r="M188" i="1"/>
  <c r="M188" i="1" a="1"/>
  <c r="I188" i="1"/>
  <c r="H188" i="1"/>
  <c r="G188" i="1"/>
  <c r="F188" i="1"/>
  <c r="C188" i="1" a="1"/>
  <c r="C188" i="1" s="1"/>
  <c r="M187" i="1" a="1"/>
  <c r="M187" i="1" s="1"/>
  <c r="I187" i="1"/>
  <c r="H187" i="1"/>
  <c r="G187" i="1"/>
  <c r="F187" i="1"/>
  <c r="C187" i="1" a="1"/>
  <c r="C187" i="1" s="1"/>
  <c r="M186" i="1"/>
  <c r="M186" i="1" a="1"/>
  <c r="I186" i="1"/>
  <c r="H186" i="1"/>
  <c r="G186" i="1"/>
  <c r="F186" i="1"/>
  <c r="C186" i="1" a="1"/>
  <c r="C186" i="1" s="1"/>
  <c r="M185" i="1" a="1"/>
  <c r="M185" i="1" s="1"/>
  <c r="I185" i="1"/>
  <c r="H185" i="1"/>
  <c r="G185" i="1"/>
  <c r="F185" i="1"/>
  <c r="C185" i="1" a="1"/>
  <c r="C185" i="1" s="1"/>
  <c r="M184" i="1"/>
  <c r="M184" i="1" a="1"/>
  <c r="I184" i="1"/>
  <c r="H184" i="1"/>
  <c r="G184" i="1"/>
  <c r="F184" i="1"/>
  <c r="C184" i="1" a="1"/>
  <c r="C184" i="1" s="1"/>
  <c r="M183" i="1" a="1"/>
  <c r="M183" i="1" s="1"/>
  <c r="I183" i="1"/>
  <c r="H183" i="1"/>
  <c r="G183" i="1"/>
  <c r="F183" i="1"/>
  <c r="C183" i="1" a="1"/>
  <c r="C183" i="1" s="1"/>
  <c r="M182" i="1"/>
  <c r="M182" i="1" a="1"/>
  <c r="I182" i="1"/>
  <c r="H182" i="1"/>
  <c r="G182" i="1"/>
  <c r="F182" i="1"/>
  <c r="C182" i="1" a="1"/>
  <c r="C182" i="1" s="1"/>
  <c r="M181" i="1" a="1"/>
  <c r="M181" i="1" s="1"/>
  <c r="I181" i="1"/>
  <c r="H181" i="1"/>
  <c r="G181" i="1"/>
  <c r="F181" i="1"/>
  <c r="C181" i="1" a="1"/>
  <c r="C181" i="1" s="1"/>
  <c r="M180" i="1"/>
  <c r="M180" i="1" a="1"/>
  <c r="I180" i="1"/>
  <c r="H180" i="1"/>
  <c r="G180" i="1"/>
  <c r="F180" i="1"/>
  <c r="C180" i="1" a="1"/>
  <c r="C180" i="1" s="1"/>
  <c r="M179" i="1" a="1"/>
  <c r="M179" i="1" s="1"/>
  <c r="I179" i="1"/>
  <c r="H179" i="1"/>
  <c r="G179" i="1"/>
  <c r="F179" i="1"/>
  <c r="C179" i="1" a="1"/>
  <c r="C179" i="1" s="1"/>
  <c r="M178" i="1"/>
  <c r="M178" i="1" a="1"/>
  <c r="I178" i="1"/>
  <c r="H178" i="1"/>
  <c r="G178" i="1"/>
  <c r="F178" i="1"/>
  <c r="C178" i="1" a="1"/>
  <c r="C178" i="1" s="1"/>
  <c r="M177" i="1" a="1"/>
  <c r="M177" i="1" s="1"/>
  <c r="I177" i="1"/>
  <c r="H177" i="1"/>
  <c r="G177" i="1"/>
  <c r="F177" i="1"/>
  <c r="C177" i="1" a="1"/>
  <c r="C177" i="1" s="1"/>
  <c r="M176" i="1"/>
  <c r="M176" i="1" a="1"/>
  <c r="I176" i="1"/>
  <c r="H176" i="1"/>
  <c r="G176" i="1"/>
  <c r="F176" i="1"/>
  <c r="C176" i="1" a="1"/>
  <c r="C176" i="1" s="1"/>
  <c r="M175" i="1" a="1"/>
  <c r="M175" i="1" s="1"/>
  <c r="I175" i="1"/>
  <c r="H175" i="1"/>
  <c r="G175" i="1"/>
  <c r="F175" i="1"/>
  <c r="C175" i="1" a="1"/>
  <c r="C175" i="1" s="1"/>
  <c r="M174" i="1"/>
  <c r="M174" i="1" a="1"/>
  <c r="I174" i="1"/>
  <c r="H174" i="1"/>
  <c r="G174" i="1"/>
  <c r="F174" i="1"/>
  <c r="C174" i="1" a="1"/>
  <c r="C174" i="1" s="1"/>
  <c r="M173" i="1" a="1"/>
  <c r="M173" i="1" s="1"/>
  <c r="I173" i="1"/>
  <c r="H173" i="1"/>
  <c r="G173" i="1"/>
  <c r="F173" i="1"/>
  <c r="C173" i="1" a="1"/>
  <c r="C173" i="1" s="1"/>
  <c r="M172" i="1"/>
  <c r="M172" i="1" a="1"/>
  <c r="I172" i="1"/>
  <c r="H172" i="1"/>
  <c r="G172" i="1"/>
  <c r="F172" i="1"/>
  <c r="C172" i="1" a="1"/>
  <c r="C172" i="1" s="1"/>
  <c r="M171" i="1" a="1"/>
  <c r="M171" i="1" s="1"/>
  <c r="I171" i="1"/>
  <c r="H171" i="1"/>
  <c r="G171" i="1"/>
  <c r="F171" i="1"/>
  <c r="C171" i="1" a="1"/>
  <c r="C171" i="1" s="1"/>
  <c r="M170" i="1"/>
  <c r="M170" i="1" a="1"/>
  <c r="I170" i="1"/>
  <c r="H170" i="1"/>
  <c r="G170" i="1"/>
  <c r="F170" i="1"/>
  <c r="C170" i="1" a="1"/>
  <c r="C170" i="1" s="1"/>
  <c r="M169" i="1" a="1"/>
  <c r="M169" i="1" s="1"/>
  <c r="I169" i="1"/>
  <c r="H169" i="1"/>
  <c r="G169" i="1"/>
  <c r="F169" i="1"/>
  <c r="C169" i="1" a="1"/>
  <c r="C169" i="1" s="1"/>
  <c r="M168" i="1"/>
  <c r="M168" i="1" a="1"/>
  <c r="I168" i="1"/>
  <c r="H168" i="1"/>
  <c r="G168" i="1"/>
  <c r="F168" i="1"/>
  <c r="C168" i="1" a="1"/>
  <c r="C168" i="1" s="1"/>
  <c r="M167" i="1" a="1"/>
  <c r="M167" i="1" s="1"/>
  <c r="I167" i="1"/>
  <c r="H167" i="1"/>
  <c r="G167" i="1"/>
  <c r="F167" i="1"/>
  <c r="C167" i="1" a="1"/>
  <c r="C167" i="1" s="1"/>
  <c r="M166" i="1"/>
  <c r="M166" i="1" a="1"/>
  <c r="I166" i="1"/>
  <c r="H166" i="1"/>
  <c r="G166" i="1"/>
  <c r="F166" i="1"/>
  <c r="C166" i="1" a="1"/>
  <c r="C166" i="1" s="1"/>
  <c r="M165" i="1" a="1"/>
  <c r="M165" i="1" s="1"/>
  <c r="I165" i="1"/>
  <c r="H165" i="1"/>
  <c r="G165" i="1"/>
  <c r="F165" i="1"/>
  <c r="C165" i="1" a="1"/>
  <c r="C165" i="1" s="1"/>
  <c r="M164" i="1"/>
  <c r="M164" i="1" a="1"/>
  <c r="I164" i="1"/>
  <c r="H164" i="1"/>
  <c r="G164" i="1"/>
  <c r="F164" i="1"/>
  <c r="C164" i="1" a="1"/>
  <c r="C164" i="1" s="1"/>
  <c r="M163" i="1" a="1"/>
  <c r="M163" i="1" s="1"/>
  <c r="I163" i="1"/>
  <c r="H163" i="1"/>
  <c r="G163" i="1"/>
  <c r="F163" i="1"/>
  <c r="C163" i="1" a="1"/>
  <c r="C163" i="1" s="1"/>
  <c r="M162" i="1"/>
  <c r="M162" i="1" a="1"/>
  <c r="I162" i="1"/>
  <c r="H162" i="1"/>
  <c r="G162" i="1"/>
  <c r="F162" i="1"/>
  <c r="C162" i="1" a="1"/>
  <c r="C162" i="1" s="1"/>
  <c r="M161" i="1" a="1"/>
  <c r="M161" i="1" s="1"/>
  <c r="I161" i="1"/>
  <c r="H161" i="1"/>
  <c r="G161" i="1"/>
  <c r="F161" i="1"/>
  <c r="C161" i="1" a="1"/>
  <c r="C161" i="1" s="1"/>
  <c r="M160" i="1"/>
  <c r="M160" i="1" a="1"/>
  <c r="I160" i="1"/>
  <c r="H160" i="1"/>
  <c r="G160" i="1"/>
  <c r="F160" i="1"/>
  <c r="C160" i="1" a="1"/>
  <c r="C160" i="1" s="1"/>
  <c r="M159" i="1" a="1"/>
  <c r="M159" i="1" s="1"/>
  <c r="I159" i="1"/>
  <c r="H159" i="1"/>
  <c r="G159" i="1"/>
  <c r="F159" i="1"/>
  <c r="C159" i="1" a="1"/>
  <c r="C159" i="1" s="1"/>
  <c r="M158" i="1"/>
  <c r="M158" i="1" a="1"/>
  <c r="I158" i="1"/>
  <c r="H158" i="1"/>
  <c r="G158" i="1"/>
  <c r="F158" i="1"/>
  <c r="C158" i="1" a="1"/>
  <c r="C158" i="1" s="1"/>
  <c r="M157" i="1"/>
  <c r="M157" i="1" a="1"/>
  <c r="I157" i="1"/>
  <c r="H157" i="1"/>
  <c r="G157" i="1"/>
  <c r="F157" i="1"/>
  <c r="C157" i="1" a="1"/>
  <c r="C157" i="1" s="1"/>
  <c r="M156" i="1"/>
  <c r="M156" i="1" a="1"/>
  <c r="I156" i="1"/>
  <c r="H156" i="1"/>
  <c r="G156" i="1"/>
  <c r="F156" i="1"/>
  <c r="C156" i="1" a="1"/>
  <c r="C156" i="1" s="1"/>
  <c r="M155" i="1" a="1"/>
  <c r="M155" i="1" s="1"/>
  <c r="I155" i="1"/>
  <c r="H155" i="1"/>
  <c r="G155" i="1"/>
  <c r="F155" i="1"/>
  <c r="C155" i="1" a="1"/>
  <c r="C155" i="1" s="1"/>
  <c r="M154" i="1"/>
  <c r="M154" i="1" a="1"/>
  <c r="I154" i="1"/>
  <c r="H154" i="1"/>
  <c r="G154" i="1"/>
  <c r="F154" i="1"/>
  <c r="C154" i="1" a="1"/>
  <c r="C154" i="1" s="1"/>
  <c r="M153" i="1" a="1"/>
  <c r="M153" i="1" s="1"/>
  <c r="I153" i="1"/>
  <c r="H153" i="1"/>
  <c r="G153" i="1"/>
  <c r="F153" i="1"/>
  <c r="C153" i="1" a="1"/>
  <c r="C153" i="1" s="1"/>
  <c r="M152" i="1"/>
  <c r="M152" i="1" a="1"/>
  <c r="I152" i="1"/>
  <c r="H152" i="1"/>
  <c r="G152" i="1"/>
  <c r="F152" i="1"/>
  <c r="C152" i="1" a="1"/>
  <c r="C152" i="1" s="1"/>
  <c r="M151" i="1" a="1"/>
  <c r="M151" i="1" s="1"/>
  <c r="I151" i="1"/>
  <c r="H151" i="1"/>
  <c r="G151" i="1"/>
  <c r="F151" i="1"/>
  <c r="C151" i="1" a="1"/>
  <c r="C151" i="1" s="1"/>
  <c r="M150" i="1"/>
  <c r="M150" i="1" a="1"/>
  <c r="I150" i="1"/>
  <c r="H150" i="1"/>
  <c r="G150" i="1"/>
  <c r="F150" i="1"/>
  <c r="C150" i="1" a="1"/>
  <c r="C150" i="1" s="1"/>
  <c r="M149" i="1" a="1"/>
  <c r="M149" i="1" s="1"/>
  <c r="I149" i="1"/>
  <c r="H149" i="1"/>
  <c r="G149" i="1"/>
  <c r="F149" i="1"/>
  <c r="C149" i="1" a="1"/>
  <c r="C149" i="1" s="1"/>
  <c r="M148" i="1"/>
  <c r="M148" i="1" a="1"/>
  <c r="I148" i="1"/>
  <c r="H148" i="1"/>
  <c r="G148" i="1"/>
  <c r="F148" i="1"/>
  <c r="C148" i="1" a="1"/>
  <c r="C148" i="1" s="1"/>
  <c r="M147" i="1" a="1"/>
  <c r="M147" i="1" s="1"/>
  <c r="I147" i="1"/>
  <c r="H147" i="1"/>
  <c r="G147" i="1"/>
  <c r="F147" i="1"/>
  <c r="C147" i="1" a="1"/>
  <c r="C147" i="1" s="1"/>
  <c r="M146" i="1" a="1"/>
  <c r="M146" i="1" s="1"/>
  <c r="I146" i="1"/>
  <c r="H146" i="1"/>
  <c r="G146" i="1"/>
  <c r="F146" i="1"/>
  <c r="C146" i="1" a="1"/>
  <c r="C146" i="1" s="1"/>
  <c r="M145" i="1" a="1"/>
  <c r="M145" i="1" s="1"/>
  <c r="I145" i="1"/>
  <c r="H145" i="1"/>
  <c r="G145" i="1"/>
  <c r="F145" i="1"/>
  <c r="C145" i="1" a="1"/>
  <c r="C145" i="1" s="1"/>
  <c r="M144" i="1"/>
  <c r="M144" i="1" a="1"/>
  <c r="I144" i="1"/>
  <c r="H144" i="1"/>
  <c r="G144" i="1"/>
  <c r="F144" i="1"/>
  <c r="C144" i="1" a="1"/>
  <c r="C144" i="1" s="1"/>
  <c r="M143" i="1" a="1"/>
  <c r="M143" i="1" s="1"/>
  <c r="I143" i="1"/>
  <c r="H143" i="1"/>
  <c r="G143" i="1"/>
  <c r="F143" i="1"/>
  <c r="C143" i="1" a="1"/>
  <c r="C143" i="1" s="1"/>
  <c r="M142" i="1" a="1"/>
  <c r="M142" i="1" s="1"/>
  <c r="I142" i="1"/>
  <c r="H142" i="1"/>
  <c r="G142" i="1"/>
  <c r="F142" i="1"/>
  <c r="C142" i="1" a="1"/>
  <c r="C142" i="1" s="1"/>
  <c r="M141" i="1"/>
  <c r="M141" i="1" a="1"/>
  <c r="I141" i="1"/>
  <c r="H141" i="1"/>
  <c r="G141" i="1"/>
  <c r="F141" i="1"/>
  <c r="C141" i="1" a="1"/>
  <c r="C141" i="1" s="1"/>
  <c r="M140" i="1"/>
  <c r="M140" i="1" a="1"/>
  <c r="I140" i="1"/>
  <c r="H140" i="1"/>
  <c r="G140" i="1"/>
  <c r="F140" i="1"/>
  <c r="C140" i="1" a="1"/>
  <c r="C140" i="1" s="1"/>
  <c r="M139" i="1" a="1"/>
  <c r="M139" i="1" s="1"/>
  <c r="I139" i="1"/>
  <c r="H139" i="1"/>
  <c r="G139" i="1"/>
  <c r="F139" i="1"/>
  <c r="C139" i="1" a="1"/>
  <c r="C139" i="1" s="1"/>
  <c r="M138" i="1" a="1"/>
  <c r="M138" i="1" s="1"/>
  <c r="I138" i="1"/>
  <c r="H138" i="1"/>
  <c r="G138" i="1"/>
  <c r="F138" i="1"/>
  <c r="C138" i="1" a="1"/>
  <c r="C138" i="1" s="1"/>
  <c r="M137" i="1"/>
  <c r="M137" i="1" a="1"/>
  <c r="I137" i="1"/>
  <c r="H137" i="1"/>
  <c r="G137" i="1"/>
  <c r="F137" i="1"/>
  <c r="C137" i="1" a="1"/>
  <c r="C137" i="1" s="1"/>
  <c r="M136" i="1"/>
  <c r="M136" i="1" a="1"/>
  <c r="I136" i="1"/>
  <c r="H136" i="1"/>
  <c r="G136" i="1"/>
  <c r="F136" i="1"/>
  <c r="C136" i="1" a="1"/>
  <c r="C136" i="1" s="1"/>
  <c r="M135" i="1" a="1"/>
  <c r="M135" i="1" s="1"/>
  <c r="I135" i="1"/>
  <c r="H135" i="1"/>
  <c r="G135" i="1"/>
  <c r="F135" i="1"/>
  <c r="C135" i="1" a="1"/>
  <c r="C135" i="1" s="1"/>
  <c r="M134" i="1" a="1"/>
  <c r="M134" i="1" s="1"/>
  <c r="I134" i="1"/>
  <c r="H134" i="1"/>
  <c r="G134" i="1"/>
  <c r="F134" i="1"/>
  <c r="C134" i="1" a="1"/>
  <c r="C134" i="1" s="1"/>
  <c r="M133" i="1"/>
  <c r="M133" i="1" a="1"/>
  <c r="I133" i="1"/>
  <c r="H133" i="1"/>
  <c r="G133" i="1"/>
  <c r="F133" i="1"/>
  <c r="C133" i="1" a="1"/>
  <c r="C133" i="1" s="1"/>
  <c r="M132" i="1"/>
  <c r="M132" i="1" a="1"/>
  <c r="I132" i="1"/>
  <c r="H132" i="1"/>
  <c r="G132" i="1"/>
  <c r="F132" i="1"/>
  <c r="C132" i="1" a="1"/>
  <c r="C132" i="1" s="1"/>
  <c r="M131" i="1" a="1"/>
  <c r="M131" i="1" s="1"/>
  <c r="I131" i="1"/>
  <c r="H131" i="1"/>
  <c r="G131" i="1"/>
  <c r="F131" i="1"/>
  <c r="C131" i="1" a="1"/>
  <c r="C131" i="1" s="1"/>
  <c r="M130" i="1"/>
  <c r="M130" i="1" a="1"/>
  <c r="I130" i="1"/>
  <c r="H130" i="1"/>
  <c r="G130" i="1"/>
  <c r="F130" i="1"/>
  <c r="C130" i="1" a="1"/>
  <c r="C130" i="1" s="1"/>
  <c r="M129" i="1" a="1"/>
  <c r="M129" i="1" s="1"/>
  <c r="I129" i="1"/>
  <c r="H129" i="1"/>
  <c r="G129" i="1"/>
  <c r="F129" i="1"/>
  <c r="C129" i="1" a="1"/>
  <c r="C129" i="1" s="1"/>
  <c r="M128" i="1"/>
  <c r="M128" i="1" a="1"/>
  <c r="I128" i="1"/>
  <c r="H128" i="1"/>
  <c r="G128" i="1"/>
  <c r="F128" i="1"/>
  <c r="C128" i="1" a="1"/>
  <c r="C128" i="1" s="1"/>
  <c r="M127" i="1" a="1"/>
  <c r="M127" i="1" s="1"/>
  <c r="I127" i="1"/>
  <c r="H127" i="1"/>
  <c r="G127" i="1"/>
  <c r="F127" i="1"/>
  <c r="C127" i="1" a="1"/>
  <c r="C127" i="1" s="1"/>
  <c r="M126" i="1" a="1"/>
  <c r="M126" i="1" s="1"/>
  <c r="I126" i="1"/>
  <c r="H126" i="1"/>
  <c r="G126" i="1"/>
  <c r="F126" i="1"/>
  <c r="C126" i="1" a="1"/>
  <c r="C126" i="1" s="1"/>
  <c r="M125" i="1" a="1"/>
  <c r="M125" i="1" s="1"/>
  <c r="I125" i="1"/>
  <c r="H125" i="1"/>
  <c r="G125" i="1"/>
  <c r="F125" i="1"/>
  <c r="C125" i="1" a="1"/>
  <c r="C125" i="1" s="1"/>
  <c r="M124" i="1"/>
  <c r="M124" i="1" a="1"/>
  <c r="I124" i="1"/>
  <c r="H124" i="1"/>
  <c r="G124" i="1"/>
  <c r="F124" i="1"/>
  <c r="C124" i="1" a="1"/>
  <c r="C124" i="1" s="1"/>
  <c r="M123" i="1" a="1"/>
  <c r="M123" i="1" s="1"/>
  <c r="I123" i="1"/>
  <c r="H123" i="1"/>
  <c r="G123" i="1"/>
  <c r="F123" i="1"/>
  <c r="C123" i="1" a="1"/>
  <c r="C123" i="1" s="1"/>
  <c r="M122" i="1" a="1"/>
  <c r="M122" i="1" s="1"/>
  <c r="I122" i="1"/>
  <c r="H122" i="1"/>
  <c r="G122" i="1"/>
  <c r="F122" i="1"/>
  <c r="C122" i="1" a="1"/>
  <c r="C122" i="1" s="1"/>
  <c r="M121" i="1" a="1"/>
  <c r="M121" i="1" s="1"/>
  <c r="I121" i="1"/>
  <c r="H121" i="1"/>
  <c r="G121" i="1"/>
  <c r="F121" i="1"/>
  <c r="C121" i="1" a="1"/>
  <c r="C121" i="1" s="1"/>
  <c r="M120" i="1"/>
  <c r="M120" i="1" a="1"/>
  <c r="I120" i="1"/>
  <c r="H120" i="1"/>
  <c r="G120" i="1"/>
  <c r="F120" i="1"/>
  <c r="C120" i="1" a="1"/>
  <c r="C120" i="1" s="1"/>
  <c r="M119" i="1" a="1"/>
  <c r="M119" i="1" s="1"/>
  <c r="I119" i="1"/>
  <c r="H119" i="1"/>
  <c r="G119" i="1"/>
  <c r="F119" i="1"/>
  <c r="C119" i="1" a="1"/>
  <c r="C119" i="1" s="1"/>
  <c r="M118" i="1" a="1"/>
  <c r="M118" i="1" s="1"/>
  <c r="I118" i="1"/>
  <c r="H118" i="1"/>
  <c r="G118" i="1"/>
  <c r="F118" i="1"/>
  <c r="C118" i="1" a="1"/>
  <c r="C118" i="1" s="1"/>
  <c r="M117" i="1" a="1"/>
  <c r="M117" i="1" s="1"/>
  <c r="I117" i="1"/>
  <c r="H117" i="1"/>
  <c r="G117" i="1"/>
  <c r="F117" i="1"/>
  <c r="C117" i="1" a="1"/>
  <c r="C117" i="1" s="1"/>
  <c r="M116" i="1"/>
  <c r="M116" i="1" a="1"/>
  <c r="I116" i="1"/>
  <c r="H116" i="1"/>
  <c r="G116" i="1"/>
  <c r="F116" i="1"/>
  <c r="C116" i="1" a="1"/>
  <c r="C116" i="1" s="1"/>
  <c r="M115" i="1" a="1"/>
  <c r="M115" i="1" s="1"/>
  <c r="I115" i="1"/>
  <c r="H115" i="1"/>
  <c r="G115" i="1"/>
  <c r="F115" i="1"/>
  <c r="C115" i="1" a="1"/>
  <c r="C115" i="1" s="1"/>
  <c r="M114" i="1"/>
  <c r="M114" i="1" a="1"/>
  <c r="I114" i="1"/>
  <c r="H114" i="1"/>
  <c r="G114" i="1"/>
  <c r="F114" i="1"/>
  <c r="C114" i="1" a="1"/>
  <c r="C114" i="1" s="1"/>
  <c r="M113" i="1" a="1"/>
  <c r="M113" i="1" s="1"/>
  <c r="I113" i="1"/>
  <c r="H113" i="1"/>
  <c r="G113" i="1"/>
  <c r="F113" i="1"/>
  <c r="C113" i="1" a="1"/>
  <c r="C113" i="1" s="1"/>
  <c r="M112" i="1"/>
  <c r="M112" i="1" a="1"/>
  <c r="I112" i="1"/>
  <c r="H112" i="1"/>
  <c r="G112" i="1"/>
  <c r="F112" i="1"/>
  <c r="C112" i="1" a="1"/>
  <c r="C112" i="1" s="1"/>
  <c r="M111" i="1" a="1"/>
  <c r="M111" i="1" s="1"/>
  <c r="I111" i="1"/>
  <c r="H111" i="1"/>
  <c r="G111" i="1"/>
  <c r="F111" i="1"/>
  <c r="C111" i="1" a="1"/>
  <c r="C111" i="1" s="1"/>
  <c r="M110" i="1" a="1"/>
  <c r="M110" i="1" s="1"/>
  <c r="I110" i="1"/>
  <c r="H110" i="1"/>
  <c r="G110" i="1"/>
  <c r="F110" i="1"/>
  <c r="C110" i="1" a="1"/>
  <c r="C110" i="1" s="1"/>
  <c r="M109" i="1" a="1"/>
  <c r="M109" i="1" s="1"/>
  <c r="I109" i="1"/>
  <c r="H109" i="1"/>
  <c r="G109" i="1"/>
  <c r="F109" i="1"/>
  <c r="C109" i="1" a="1"/>
  <c r="C109" i="1" s="1"/>
  <c r="M108" i="1"/>
  <c r="M108" i="1" a="1"/>
  <c r="I108" i="1"/>
  <c r="H108" i="1"/>
  <c r="G108" i="1"/>
  <c r="F108" i="1"/>
  <c r="C108" i="1" a="1"/>
  <c r="C108" i="1" s="1"/>
  <c r="M107" i="1" a="1"/>
  <c r="M107" i="1" s="1"/>
  <c r="I107" i="1"/>
  <c r="H107" i="1"/>
  <c r="G107" i="1"/>
  <c r="F107" i="1"/>
  <c r="C107" i="1" a="1"/>
  <c r="C107" i="1" s="1"/>
  <c r="M106" i="1" a="1"/>
  <c r="M106" i="1" s="1"/>
  <c r="I106" i="1"/>
  <c r="H106" i="1"/>
  <c r="G106" i="1"/>
  <c r="F106" i="1"/>
  <c r="C106" i="1" a="1"/>
  <c r="C106" i="1" s="1"/>
  <c r="M105" i="1" a="1"/>
  <c r="M105" i="1" s="1"/>
  <c r="I105" i="1"/>
  <c r="H105" i="1"/>
  <c r="G105" i="1"/>
  <c r="F105" i="1"/>
  <c r="C105" i="1" a="1"/>
  <c r="C105" i="1" s="1"/>
  <c r="M104" i="1"/>
  <c r="M104" i="1" a="1"/>
  <c r="I104" i="1"/>
  <c r="H104" i="1"/>
  <c r="G104" i="1"/>
  <c r="F104" i="1"/>
  <c r="C104" i="1" a="1"/>
  <c r="C104" i="1" s="1"/>
  <c r="M103" i="1" a="1"/>
  <c r="M103" i="1" s="1"/>
  <c r="I103" i="1"/>
  <c r="H103" i="1"/>
  <c r="G103" i="1"/>
  <c r="F103" i="1"/>
  <c r="C103" i="1" a="1"/>
  <c r="C103" i="1" s="1"/>
  <c r="M102" i="1" a="1"/>
  <c r="M102" i="1" s="1"/>
  <c r="I102" i="1"/>
  <c r="H102" i="1"/>
  <c r="G102" i="1"/>
  <c r="F102" i="1"/>
  <c r="C102" i="1" a="1"/>
  <c r="C102" i="1" s="1"/>
  <c r="M101" i="1" a="1"/>
  <c r="M101" i="1" s="1"/>
  <c r="I101" i="1"/>
  <c r="H101" i="1"/>
  <c r="G101" i="1"/>
  <c r="F101" i="1"/>
  <c r="C101" i="1" a="1"/>
  <c r="C101" i="1" s="1"/>
  <c r="M100" i="1"/>
  <c r="M100" i="1" a="1"/>
  <c r="I100" i="1"/>
  <c r="H100" i="1"/>
  <c r="G100" i="1"/>
  <c r="F100" i="1"/>
  <c r="C100" i="1" a="1"/>
  <c r="C100" i="1" s="1"/>
  <c r="M99" i="1" a="1"/>
  <c r="M99" i="1" s="1"/>
  <c r="I99" i="1"/>
  <c r="H99" i="1"/>
  <c r="G99" i="1"/>
  <c r="F99" i="1"/>
  <c r="C99" i="1" a="1"/>
  <c r="C99" i="1" s="1"/>
  <c r="M98" i="1" a="1"/>
  <c r="M98" i="1" s="1"/>
  <c r="I98" i="1"/>
  <c r="H98" i="1"/>
  <c r="G98" i="1"/>
  <c r="F98" i="1"/>
  <c r="C98" i="1" a="1"/>
  <c r="C98" i="1" s="1"/>
  <c r="M97" i="1" a="1"/>
  <c r="M97" i="1" s="1"/>
  <c r="I97" i="1"/>
  <c r="H97" i="1"/>
  <c r="G97" i="1"/>
  <c r="F97" i="1"/>
  <c r="C97" i="1" a="1"/>
  <c r="C97" i="1" s="1"/>
  <c r="M96" i="1" a="1"/>
  <c r="M96" i="1" s="1"/>
  <c r="I96" i="1"/>
  <c r="H96" i="1"/>
  <c r="G96" i="1"/>
  <c r="F96" i="1"/>
  <c r="C96" i="1" a="1"/>
  <c r="C96" i="1" s="1"/>
  <c r="M95" i="1" a="1"/>
  <c r="M95" i="1" s="1"/>
  <c r="I95" i="1"/>
  <c r="H95" i="1"/>
  <c r="G95" i="1"/>
  <c r="F95" i="1"/>
  <c r="C95" i="1" a="1"/>
  <c r="C95" i="1" s="1"/>
  <c r="M94" i="1" a="1"/>
  <c r="M94" i="1" s="1"/>
  <c r="I94" i="1"/>
  <c r="H94" i="1"/>
  <c r="G94" i="1"/>
  <c r="F94" i="1"/>
  <c r="C94" i="1" a="1"/>
  <c r="C94" i="1" s="1"/>
  <c r="M93" i="1"/>
  <c r="M93" i="1" a="1"/>
  <c r="I93" i="1"/>
  <c r="H93" i="1"/>
  <c r="G93" i="1"/>
  <c r="F93" i="1"/>
  <c r="C93" i="1" a="1"/>
  <c r="C93" i="1" s="1"/>
  <c r="M92" i="1" a="1"/>
  <c r="M92" i="1" s="1"/>
  <c r="I92" i="1"/>
  <c r="H92" i="1"/>
  <c r="G92" i="1"/>
  <c r="F92" i="1"/>
  <c r="C92" i="1" a="1"/>
  <c r="C92" i="1" s="1"/>
  <c r="M91" i="1" a="1"/>
  <c r="M91" i="1" s="1"/>
  <c r="I91" i="1"/>
  <c r="H91" i="1"/>
  <c r="G91" i="1"/>
  <c r="F91" i="1"/>
  <c r="C91" i="1" a="1"/>
  <c r="C91" i="1" s="1"/>
  <c r="M90" i="1" a="1"/>
  <c r="M90" i="1" s="1"/>
  <c r="I90" i="1"/>
  <c r="H90" i="1"/>
  <c r="G90" i="1"/>
  <c r="F90" i="1"/>
  <c r="C90" i="1" a="1"/>
  <c r="C90" i="1" s="1"/>
  <c r="M89" i="1"/>
  <c r="M89" i="1" a="1"/>
  <c r="I89" i="1"/>
  <c r="H89" i="1"/>
  <c r="G89" i="1"/>
  <c r="F89" i="1"/>
  <c r="C89" i="1" a="1"/>
  <c r="C89" i="1" s="1"/>
  <c r="M88" i="1" a="1"/>
  <c r="M88" i="1" s="1"/>
  <c r="I88" i="1"/>
  <c r="H88" i="1"/>
  <c r="G88" i="1"/>
  <c r="F88" i="1"/>
  <c r="C88" i="1" a="1"/>
  <c r="C88" i="1" s="1"/>
  <c r="M87" i="1" a="1"/>
  <c r="M87" i="1" s="1"/>
  <c r="I87" i="1"/>
  <c r="H87" i="1"/>
  <c r="G87" i="1"/>
  <c r="F87" i="1"/>
  <c r="C87" i="1" a="1"/>
  <c r="C87" i="1" s="1"/>
  <c r="M86" i="1" a="1"/>
  <c r="M86" i="1" s="1"/>
  <c r="I86" i="1"/>
  <c r="H86" i="1"/>
  <c r="G86" i="1"/>
  <c r="F86" i="1"/>
  <c r="C86" i="1" a="1"/>
  <c r="C86" i="1" s="1"/>
  <c r="M85" i="1" a="1"/>
  <c r="M85" i="1" s="1"/>
  <c r="I85" i="1"/>
  <c r="H85" i="1"/>
  <c r="G85" i="1"/>
  <c r="F85" i="1"/>
  <c r="C85" i="1" a="1"/>
  <c r="C85" i="1" s="1"/>
  <c r="M84" i="1" a="1"/>
  <c r="M84" i="1" s="1"/>
  <c r="I84" i="1"/>
  <c r="H84" i="1"/>
  <c r="G84" i="1"/>
  <c r="F84" i="1"/>
  <c r="C84" i="1" a="1"/>
  <c r="C84" i="1" s="1"/>
  <c r="M83" i="1" a="1"/>
  <c r="M83" i="1" s="1"/>
  <c r="I83" i="1"/>
  <c r="H83" i="1"/>
  <c r="G83" i="1"/>
  <c r="F83" i="1"/>
  <c r="C83" i="1" a="1"/>
  <c r="C83" i="1" s="1"/>
  <c r="M82" i="1" a="1"/>
  <c r="M82" i="1" s="1"/>
  <c r="I82" i="1"/>
  <c r="H82" i="1"/>
  <c r="G82" i="1"/>
  <c r="F82" i="1"/>
  <c r="C82" i="1" a="1"/>
  <c r="C82" i="1" s="1"/>
  <c r="M81" i="1"/>
  <c r="M81" i="1" a="1"/>
  <c r="I81" i="1"/>
  <c r="H81" i="1"/>
  <c r="G81" i="1"/>
  <c r="F81" i="1"/>
  <c r="C81" i="1" a="1"/>
  <c r="C81" i="1" s="1"/>
  <c r="M80" i="1" a="1"/>
  <c r="M80" i="1" s="1"/>
  <c r="I80" i="1"/>
  <c r="H80" i="1"/>
  <c r="G80" i="1"/>
  <c r="F80" i="1"/>
  <c r="C80" i="1" a="1"/>
  <c r="C80" i="1" s="1"/>
  <c r="M79" i="1" a="1"/>
  <c r="M79" i="1" s="1"/>
  <c r="I79" i="1"/>
  <c r="H79" i="1"/>
  <c r="G79" i="1"/>
  <c r="F79" i="1"/>
  <c r="C79" i="1" a="1"/>
  <c r="C79" i="1" s="1"/>
  <c r="M78" i="1" a="1"/>
  <c r="M78" i="1" s="1"/>
  <c r="I78" i="1"/>
  <c r="H78" i="1"/>
  <c r="G78" i="1"/>
  <c r="F78" i="1"/>
  <c r="C78" i="1" a="1"/>
  <c r="C78" i="1" s="1"/>
  <c r="M77" i="1"/>
  <c r="M77" i="1" a="1"/>
  <c r="I77" i="1"/>
  <c r="H77" i="1"/>
  <c r="G77" i="1"/>
  <c r="F77" i="1"/>
  <c r="C77" i="1" a="1"/>
  <c r="C77" i="1" s="1"/>
  <c r="M76" i="1"/>
  <c r="M76" i="1" a="1"/>
  <c r="I76" i="1"/>
  <c r="H76" i="1"/>
  <c r="G76" i="1"/>
  <c r="F76" i="1"/>
  <c r="C76" i="1" a="1"/>
  <c r="C76" i="1" s="1"/>
  <c r="M75" i="1" a="1"/>
  <c r="M75" i="1" s="1"/>
  <c r="I75" i="1"/>
  <c r="H75" i="1"/>
  <c r="G75" i="1"/>
  <c r="F75" i="1"/>
  <c r="C75" i="1" a="1"/>
  <c r="C75" i="1" s="1"/>
  <c r="M74" i="1" a="1"/>
  <c r="M74" i="1" s="1"/>
  <c r="I74" i="1"/>
  <c r="H74" i="1"/>
  <c r="G74" i="1"/>
  <c r="F74" i="1"/>
  <c r="C74" i="1" a="1"/>
  <c r="C74" i="1" s="1"/>
  <c r="M73" i="1" a="1"/>
  <c r="M73" i="1" s="1"/>
  <c r="I73" i="1"/>
  <c r="H73" i="1"/>
  <c r="G73" i="1"/>
  <c r="F73" i="1"/>
  <c r="C73" i="1" a="1"/>
  <c r="C73" i="1" s="1"/>
  <c r="M72" i="1" a="1"/>
  <c r="M72" i="1" s="1"/>
  <c r="I72" i="1"/>
  <c r="H72" i="1"/>
  <c r="G72" i="1"/>
  <c r="F72" i="1"/>
  <c r="C72" i="1" a="1"/>
  <c r="C72" i="1" s="1"/>
  <c r="M71" i="1" a="1"/>
  <c r="M71" i="1" s="1"/>
  <c r="I71" i="1"/>
  <c r="H71" i="1"/>
  <c r="G71" i="1"/>
  <c r="F71" i="1"/>
  <c r="C71" i="1" a="1"/>
  <c r="C71" i="1" s="1"/>
  <c r="M70" i="1" a="1"/>
  <c r="M70" i="1" s="1"/>
  <c r="I70" i="1"/>
  <c r="H70" i="1"/>
  <c r="G70" i="1"/>
  <c r="F70" i="1"/>
  <c r="C70" i="1" a="1"/>
  <c r="C70" i="1" s="1"/>
  <c r="M69" i="1" a="1"/>
  <c r="M69" i="1" s="1"/>
  <c r="I69" i="1"/>
  <c r="H69" i="1"/>
  <c r="G69" i="1"/>
  <c r="F69" i="1"/>
  <c r="C69" i="1" a="1"/>
  <c r="C69" i="1" s="1"/>
  <c r="M68" i="1" a="1"/>
  <c r="M68" i="1" s="1"/>
  <c r="I68" i="1"/>
  <c r="H68" i="1"/>
  <c r="G68" i="1"/>
  <c r="F68" i="1"/>
  <c r="C68" i="1" a="1"/>
  <c r="C68" i="1" s="1"/>
  <c r="M67" i="1" a="1"/>
  <c r="M67" i="1" s="1"/>
  <c r="I67" i="1"/>
  <c r="H67" i="1"/>
  <c r="G67" i="1"/>
  <c r="F67" i="1"/>
  <c r="C67" i="1" a="1"/>
  <c r="C67" i="1" s="1"/>
  <c r="M66" i="1" a="1"/>
  <c r="M66" i="1" s="1"/>
  <c r="I66" i="1"/>
  <c r="H66" i="1"/>
  <c r="G66" i="1"/>
  <c r="F66" i="1"/>
  <c r="C66" i="1" a="1"/>
  <c r="C66" i="1" s="1"/>
  <c r="M65" i="1" a="1"/>
  <c r="M65" i="1" s="1"/>
  <c r="I65" i="1"/>
  <c r="H65" i="1"/>
  <c r="G65" i="1"/>
  <c r="F65" i="1"/>
  <c r="C65" i="1" a="1"/>
  <c r="C65" i="1" s="1"/>
  <c r="M64" i="1" a="1"/>
  <c r="M64" i="1" s="1"/>
  <c r="I64" i="1"/>
  <c r="H64" i="1"/>
  <c r="G64" i="1"/>
  <c r="F64" i="1"/>
  <c r="C64" i="1" a="1"/>
  <c r="C64" i="1" s="1"/>
  <c r="M63" i="1" a="1"/>
  <c r="M63" i="1" s="1"/>
  <c r="I63" i="1"/>
  <c r="H63" i="1"/>
  <c r="G63" i="1"/>
  <c r="F63" i="1"/>
  <c r="C63" i="1" a="1"/>
  <c r="C63" i="1" s="1"/>
  <c r="M62" i="1" a="1"/>
  <c r="M62" i="1" s="1"/>
  <c r="I62" i="1"/>
  <c r="H62" i="1"/>
  <c r="G62" i="1"/>
  <c r="F62" i="1"/>
  <c r="C62" i="1" a="1"/>
  <c r="C62" i="1" s="1"/>
  <c r="M61" i="1" a="1"/>
  <c r="M61" i="1" s="1"/>
  <c r="I61" i="1"/>
  <c r="H61" i="1"/>
  <c r="G61" i="1"/>
  <c r="F61" i="1"/>
  <c r="C61" i="1" a="1"/>
  <c r="C61" i="1" s="1"/>
  <c r="M60" i="1" a="1"/>
  <c r="M60" i="1" s="1"/>
  <c r="I60" i="1"/>
  <c r="H60" i="1"/>
  <c r="G60" i="1"/>
  <c r="F60" i="1"/>
  <c r="C60" i="1" a="1"/>
  <c r="C60" i="1" s="1"/>
  <c r="M59" i="1" a="1"/>
  <c r="M59" i="1" s="1"/>
  <c r="I59" i="1"/>
  <c r="H59" i="1"/>
  <c r="G59" i="1"/>
  <c r="F59" i="1"/>
  <c r="C59" i="1" a="1"/>
  <c r="C59" i="1" s="1"/>
  <c r="M58" i="1" a="1"/>
  <c r="M58" i="1" s="1"/>
  <c r="I58" i="1"/>
  <c r="H58" i="1"/>
  <c r="G58" i="1"/>
  <c r="F58" i="1"/>
  <c r="C58" i="1" a="1"/>
  <c r="C58" i="1" s="1"/>
  <c r="M57" i="1" a="1"/>
  <c r="M57" i="1" s="1"/>
  <c r="I57" i="1"/>
  <c r="H57" i="1"/>
  <c r="G57" i="1"/>
  <c r="F57" i="1"/>
  <c r="C57" i="1" a="1"/>
  <c r="C57" i="1" s="1"/>
  <c r="M56" i="1" a="1"/>
  <c r="M56" i="1" s="1"/>
  <c r="I56" i="1"/>
  <c r="H56" i="1"/>
  <c r="G56" i="1"/>
  <c r="F56" i="1"/>
  <c r="C56" i="1" a="1"/>
  <c r="C56" i="1" s="1"/>
  <c r="M55" i="1" a="1"/>
  <c r="M55" i="1" s="1"/>
  <c r="I55" i="1"/>
  <c r="H55" i="1"/>
  <c r="G55" i="1"/>
  <c r="F55" i="1"/>
  <c r="C55" i="1" a="1"/>
  <c r="C55" i="1" s="1"/>
  <c r="M54" i="1" a="1"/>
  <c r="M54" i="1" s="1"/>
  <c r="I54" i="1"/>
  <c r="H54" i="1"/>
  <c r="G54" i="1"/>
  <c r="F54" i="1"/>
  <c r="C54" i="1" a="1"/>
  <c r="C54" i="1" s="1"/>
  <c r="M53" i="1" a="1"/>
  <c r="M53" i="1" s="1"/>
  <c r="I53" i="1"/>
  <c r="H53" i="1"/>
  <c r="G53" i="1"/>
  <c r="F53" i="1"/>
  <c r="C53" i="1" a="1"/>
  <c r="C53" i="1" s="1"/>
  <c r="M52" i="1" a="1"/>
  <c r="M52" i="1" s="1"/>
  <c r="I52" i="1"/>
  <c r="H52" i="1"/>
  <c r="G52" i="1"/>
  <c r="F52" i="1"/>
  <c r="C52" i="1" a="1"/>
  <c r="C52" i="1" s="1"/>
  <c r="M51" i="1" a="1"/>
  <c r="M51" i="1" s="1"/>
  <c r="I51" i="1"/>
  <c r="H51" i="1"/>
  <c r="G51" i="1"/>
  <c r="F51" i="1"/>
  <c r="C51" i="1" a="1"/>
  <c r="C51" i="1" s="1"/>
  <c r="M50" i="1" a="1"/>
  <c r="M50" i="1" s="1"/>
  <c r="I50" i="1"/>
  <c r="H50" i="1"/>
  <c r="G50" i="1"/>
  <c r="F50" i="1"/>
  <c r="C50" i="1"/>
  <c r="C50" i="1" a="1"/>
  <c r="M49" i="1" a="1"/>
  <c r="M49" i="1" s="1"/>
  <c r="I49" i="1"/>
  <c r="H49" i="1"/>
  <c r="G49" i="1"/>
  <c r="F49" i="1"/>
  <c r="C49" i="1" a="1"/>
  <c r="C49" i="1" s="1"/>
  <c r="M48" i="1" a="1"/>
  <c r="M48" i="1" s="1"/>
  <c r="I48" i="1"/>
  <c r="H48" i="1"/>
  <c r="G48" i="1"/>
  <c r="F48" i="1"/>
  <c r="C48" i="1" a="1"/>
  <c r="C48" i="1" s="1"/>
  <c r="M47" i="1" a="1"/>
  <c r="M47" i="1" s="1"/>
  <c r="I47" i="1"/>
  <c r="H47" i="1"/>
  <c r="G47" i="1"/>
  <c r="F47" i="1"/>
  <c r="C47" i="1" a="1"/>
  <c r="C47" i="1" s="1"/>
  <c r="M46" i="1" a="1"/>
  <c r="M46" i="1" s="1"/>
  <c r="I46" i="1"/>
  <c r="H46" i="1"/>
  <c r="G46" i="1"/>
  <c r="F46" i="1"/>
  <c r="C46" i="1" a="1"/>
  <c r="C46" i="1" s="1"/>
  <c r="M45" i="1" a="1"/>
  <c r="M45" i="1" s="1"/>
  <c r="I45" i="1"/>
  <c r="H45" i="1"/>
  <c r="G45" i="1"/>
  <c r="F45" i="1"/>
  <c r="C45" i="1" a="1"/>
  <c r="C45" i="1" s="1"/>
  <c r="M44" i="1" a="1"/>
  <c r="M44" i="1" s="1"/>
  <c r="I44" i="1"/>
  <c r="H44" i="1"/>
  <c r="G44" i="1"/>
  <c r="F44" i="1"/>
  <c r="C44" i="1" a="1"/>
  <c r="C44" i="1" s="1"/>
  <c r="M43" i="1" a="1"/>
  <c r="M43" i="1" s="1"/>
  <c r="I43" i="1"/>
  <c r="H43" i="1"/>
  <c r="G43" i="1"/>
  <c r="F43" i="1"/>
  <c r="C43" i="1" a="1"/>
  <c r="C43" i="1" s="1"/>
  <c r="M42" i="1" a="1"/>
  <c r="M42" i="1" s="1"/>
  <c r="I42" i="1"/>
  <c r="H42" i="1"/>
  <c r="G42" i="1"/>
  <c r="F42" i="1"/>
  <c r="C42" i="1" a="1"/>
  <c r="C42" i="1" s="1"/>
  <c r="M41" i="1" a="1"/>
  <c r="M41" i="1" s="1"/>
  <c r="I41" i="1"/>
  <c r="H41" i="1"/>
  <c r="G41" i="1"/>
  <c r="F41" i="1"/>
  <c r="C41" i="1" a="1"/>
  <c r="C41" i="1" s="1"/>
  <c r="M40" i="1" a="1"/>
  <c r="M40" i="1" s="1"/>
  <c r="I40" i="1"/>
  <c r="H40" i="1"/>
  <c r="G40" i="1"/>
  <c r="F40" i="1"/>
  <c r="C40" i="1" a="1"/>
  <c r="C40" i="1" s="1"/>
  <c r="M39" i="1" a="1"/>
  <c r="M39" i="1" s="1"/>
  <c r="I39" i="1"/>
  <c r="H39" i="1"/>
  <c r="G39" i="1"/>
  <c r="F39" i="1"/>
  <c r="C39" i="1" a="1"/>
  <c r="C39" i="1" s="1"/>
  <c r="M38" i="1" a="1"/>
  <c r="M38" i="1" s="1"/>
  <c r="I38" i="1"/>
  <c r="H38" i="1"/>
  <c r="G38" i="1"/>
  <c r="F38" i="1"/>
  <c r="C38" i="1" a="1"/>
  <c r="C38" i="1" s="1"/>
  <c r="M37" i="1" a="1"/>
  <c r="M37" i="1" s="1"/>
  <c r="I37" i="1"/>
  <c r="H37" i="1"/>
  <c r="G37" i="1"/>
  <c r="F37" i="1"/>
  <c r="C37" i="1" a="1"/>
  <c r="C37" i="1" s="1"/>
  <c r="M36" i="1" a="1"/>
  <c r="M36" i="1" s="1"/>
  <c r="I36" i="1"/>
  <c r="H36" i="1"/>
  <c r="G36" i="1"/>
  <c r="F36" i="1"/>
  <c r="C36" i="1" a="1"/>
  <c r="C36" i="1" s="1"/>
  <c r="M35" i="1" a="1"/>
  <c r="M35" i="1" s="1"/>
  <c r="I35" i="1"/>
  <c r="H35" i="1"/>
  <c r="G35" i="1"/>
  <c r="F35" i="1"/>
  <c r="C35" i="1" a="1"/>
  <c r="C35" i="1" s="1"/>
  <c r="M34" i="1" a="1"/>
  <c r="M34" i="1" s="1"/>
  <c r="I34" i="1"/>
  <c r="H34" i="1"/>
  <c r="G34" i="1"/>
  <c r="F34" i="1"/>
  <c r="C34" i="1" a="1"/>
  <c r="C34" i="1" s="1"/>
  <c r="M33" i="1" a="1"/>
  <c r="M33" i="1" s="1"/>
  <c r="I33" i="1"/>
  <c r="H33" i="1"/>
  <c r="G33" i="1"/>
  <c r="F33" i="1"/>
  <c r="C33" i="1" a="1"/>
  <c r="C33" i="1" s="1"/>
  <c r="M32" i="1" a="1"/>
  <c r="M32" i="1" s="1"/>
  <c r="I32" i="1"/>
  <c r="H32" i="1"/>
  <c r="G32" i="1"/>
  <c r="F32" i="1"/>
  <c r="C32" i="1" a="1"/>
  <c r="C32" i="1" s="1"/>
  <c r="M31" i="1" a="1"/>
  <c r="M31" i="1" s="1"/>
  <c r="I31" i="1"/>
  <c r="H31" i="1"/>
  <c r="G31" i="1"/>
  <c r="F31" i="1"/>
  <c r="C31" i="1" a="1"/>
  <c r="C31" i="1" s="1"/>
  <c r="M30" i="1" a="1"/>
  <c r="M30" i="1" s="1"/>
  <c r="I30" i="1"/>
  <c r="H30" i="1"/>
  <c r="G30" i="1"/>
  <c r="F30" i="1"/>
  <c r="C30" i="1" a="1"/>
  <c r="C30" i="1" s="1"/>
  <c r="M29" i="1" a="1"/>
  <c r="M29" i="1" s="1"/>
  <c r="I29" i="1"/>
  <c r="H29" i="1"/>
  <c r="G29" i="1"/>
  <c r="F29" i="1"/>
  <c r="C29" i="1" a="1"/>
  <c r="C29" i="1" s="1"/>
  <c r="M28" i="1" a="1"/>
  <c r="M28" i="1" s="1"/>
  <c r="I28" i="1"/>
  <c r="H28" i="1"/>
  <c r="G28" i="1"/>
  <c r="F28" i="1"/>
  <c r="C28" i="1" a="1"/>
  <c r="C28" i="1" s="1"/>
  <c r="M27" i="1" a="1"/>
  <c r="M27" i="1" s="1"/>
  <c r="I27" i="1"/>
  <c r="H27" i="1"/>
  <c r="G27" i="1"/>
  <c r="F27" i="1"/>
  <c r="C27" i="1" a="1"/>
  <c r="C27" i="1" s="1"/>
  <c r="M26" i="1" a="1"/>
  <c r="M26" i="1" s="1"/>
  <c r="I26" i="1"/>
  <c r="H26" i="1"/>
  <c r="G26" i="1"/>
  <c r="F26" i="1"/>
  <c r="C26" i="1" a="1"/>
  <c r="C26" i="1" s="1"/>
  <c r="M25" i="1" a="1"/>
  <c r="M25" i="1" s="1"/>
  <c r="I25" i="1"/>
  <c r="H25" i="1"/>
  <c r="G25" i="1"/>
  <c r="F25" i="1"/>
  <c r="C25" i="1" a="1"/>
  <c r="C25" i="1" s="1"/>
  <c r="M24" i="1" a="1"/>
  <c r="M24" i="1" s="1"/>
  <c r="I24" i="1"/>
  <c r="H24" i="1"/>
  <c r="G24" i="1"/>
  <c r="F24" i="1"/>
  <c r="C24" i="1" a="1"/>
  <c r="C24" i="1" s="1"/>
  <c r="M23" i="1" a="1"/>
  <c r="M23" i="1" s="1"/>
  <c r="I23" i="1"/>
  <c r="H23" i="1"/>
  <c r="G23" i="1"/>
  <c r="F23" i="1"/>
  <c r="C23" i="1" a="1"/>
  <c r="C23" i="1" s="1"/>
  <c r="M22" i="1" a="1"/>
  <c r="M22" i="1" s="1"/>
  <c r="I22" i="1"/>
  <c r="H22" i="1"/>
  <c r="G22" i="1"/>
  <c r="F22" i="1"/>
  <c r="C22" i="1" a="1"/>
  <c r="C22" i="1" s="1"/>
  <c r="M21" i="1" a="1"/>
  <c r="M21" i="1" s="1"/>
  <c r="I21" i="1"/>
  <c r="H21" i="1"/>
  <c r="G21" i="1"/>
  <c r="F21" i="1"/>
  <c r="C21" i="1" a="1"/>
  <c r="C21" i="1" s="1"/>
  <c r="M20" i="1" a="1"/>
  <c r="M20" i="1" s="1"/>
  <c r="I20" i="1"/>
  <c r="H20" i="1"/>
  <c r="G20" i="1"/>
  <c r="F20" i="1"/>
  <c r="C20" i="1" a="1"/>
  <c r="C20" i="1" s="1"/>
  <c r="M19" i="1" a="1"/>
  <c r="M19" i="1" s="1"/>
  <c r="I19" i="1"/>
  <c r="H19" i="1"/>
  <c r="G19" i="1"/>
  <c r="F19" i="1"/>
  <c r="C19" i="1" a="1"/>
  <c r="C19" i="1" s="1"/>
  <c r="M18" i="1" a="1"/>
  <c r="M18" i="1" s="1"/>
  <c r="I18" i="1"/>
  <c r="H18" i="1"/>
  <c r="G18" i="1"/>
  <c r="F18" i="1"/>
  <c r="C18" i="1" a="1"/>
  <c r="C18" i="1" s="1"/>
  <c r="M17" i="1" a="1"/>
  <c r="M17" i="1" s="1"/>
  <c r="I17" i="1"/>
  <c r="H17" i="1"/>
  <c r="G17" i="1"/>
  <c r="F17" i="1"/>
  <c r="C17" i="1" a="1"/>
  <c r="C17" i="1" s="1"/>
  <c r="M16" i="1" a="1"/>
  <c r="M16" i="1" s="1"/>
  <c r="I16" i="1"/>
  <c r="H16" i="1"/>
  <c r="G16" i="1"/>
  <c r="F16" i="1"/>
  <c r="C16" i="1" a="1"/>
  <c r="C16" i="1" s="1"/>
  <c r="M15" i="1" a="1"/>
  <c r="M15" i="1" s="1"/>
  <c r="I15" i="1"/>
  <c r="H15" i="1"/>
  <c r="G15" i="1"/>
  <c r="F15" i="1"/>
  <c r="C15" i="1" a="1"/>
  <c r="C15" i="1" s="1"/>
  <c r="M14" i="1" a="1"/>
  <c r="M14" i="1" s="1"/>
  <c r="I14" i="1"/>
  <c r="H14" i="1"/>
  <c r="G14" i="1"/>
  <c r="F14" i="1"/>
  <c r="C14" i="1" a="1"/>
  <c r="C14" i="1" s="1"/>
  <c r="M13" i="1" a="1"/>
  <c r="M13" i="1" s="1"/>
  <c r="I13" i="1"/>
  <c r="H13" i="1"/>
  <c r="G13" i="1"/>
  <c r="F13" i="1"/>
  <c r="C13" i="1" a="1"/>
  <c r="C13" i="1" s="1"/>
  <c r="M12" i="1" a="1"/>
  <c r="M12" i="1" s="1"/>
  <c r="I12" i="1"/>
  <c r="H12" i="1"/>
  <c r="G12" i="1"/>
  <c r="F12" i="1"/>
  <c r="C12" i="1" a="1"/>
  <c r="C12" i="1" s="1"/>
  <c r="M11" i="1" a="1"/>
  <c r="M11" i="1" s="1"/>
  <c r="I11" i="1"/>
  <c r="H11" i="1"/>
  <c r="G11" i="1"/>
  <c r="F11" i="1"/>
  <c r="C11" i="1" a="1"/>
  <c r="C11" i="1" s="1"/>
  <c r="M10" i="1" a="1"/>
  <c r="M10" i="1" s="1"/>
  <c r="I10" i="1"/>
  <c r="H10" i="1"/>
  <c r="G10" i="1"/>
  <c r="F10" i="1"/>
  <c r="C10" i="1" a="1"/>
  <c r="C10" i="1" s="1"/>
  <c r="M9" i="1" a="1"/>
  <c r="M9" i="1" s="1"/>
  <c r="I9" i="1"/>
  <c r="H9" i="1"/>
  <c r="G9" i="1"/>
  <c r="F9" i="1"/>
  <c r="C9" i="1" a="1"/>
  <c r="C9" i="1" s="1"/>
  <c r="M8" i="1" a="1"/>
  <c r="M8" i="1" s="1"/>
  <c r="I8" i="1"/>
  <c r="H8" i="1"/>
  <c r="G8" i="1"/>
  <c r="F8" i="1"/>
  <c r="C8" i="1" a="1"/>
  <c r="C8" i="1" s="1"/>
  <c r="M7" i="1" a="1"/>
  <c r="M7" i="1" s="1"/>
  <c r="I7" i="1"/>
  <c r="H7" i="1"/>
  <c r="G7" i="1"/>
  <c r="F7" i="1"/>
  <c r="C7" i="1" a="1"/>
  <c r="C7" i="1" s="1"/>
  <c r="M6" i="1" a="1"/>
  <c r="M6" i="1" s="1"/>
  <c r="I6" i="1"/>
  <c r="H6" i="1"/>
  <c r="G6" i="1"/>
  <c r="F6" i="1"/>
  <c r="C6" i="1" a="1"/>
  <c r="C6" i="1" s="1"/>
  <c r="M5" i="1" a="1"/>
  <c r="M5" i="1" s="1"/>
  <c r="I5" i="1"/>
  <c r="H5" i="1"/>
  <c r="G5" i="1"/>
  <c r="F5" i="1"/>
  <c r="C5" i="1" a="1"/>
  <c r="C5" i="1" s="1"/>
  <c r="M4" i="1" a="1"/>
  <c r="M4" i="1" s="1"/>
  <c r="I4" i="1"/>
  <c r="H4" i="1"/>
  <c r="G4" i="1"/>
  <c r="F4" i="1"/>
  <c r="C4" i="1" a="1"/>
  <c r="C4" i="1" s="1"/>
  <c r="M3" i="1" a="1"/>
  <c r="M3" i="1" s="1"/>
  <c r="I3" i="1"/>
  <c r="H3" i="1"/>
  <c r="G3" i="1"/>
  <c r="F3" i="1"/>
  <c r="C3" i="1" a="1"/>
  <c r="C3" i="1" s="1"/>
  <c r="M2" i="1" a="1"/>
  <c r="M2" i="1" s="1"/>
  <c r="I2" i="1"/>
  <c r="H2" i="1"/>
  <c r="G2" i="1"/>
  <c r="F2" i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<sst xmlns="http://schemas.openxmlformats.org/spreadsheetml/2006/main" count="5015" uniqueCount="1064">
  <si>
    <t>Patient_ID</t>
  </si>
  <si>
    <t>Age</t>
  </si>
  <si>
    <t>Gender</t>
  </si>
  <si>
    <t>Condition</t>
  </si>
  <si>
    <t>Drug_Name</t>
  </si>
  <si>
    <t>Dosage_mg</t>
  </si>
  <si>
    <t>Treatment_Duration_days</t>
  </si>
  <si>
    <t>Side_Effects</t>
  </si>
  <si>
    <t>Improvement_Score</t>
  </si>
  <si>
    <t>P0001</t>
  </si>
  <si>
    <t>Male</t>
  </si>
  <si>
    <t>Infection</t>
  </si>
  <si>
    <t>Ciprofloxacin</t>
  </si>
  <si>
    <t>Nausea</t>
  </si>
  <si>
    <t>P0002</t>
  </si>
  <si>
    <t>Hypertension</t>
  </si>
  <si>
    <t>Metoprolol</t>
  </si>
  <si>
    <t>Tiredness</t>
  </si>
  <si>
    <t>P0003</t>
  </si>
  <si>
    <t>Female</t>
  </si>
  <si>
    <t>Depression</t>
  </si>
  <si>
    <t>Bupropion</t>
  </si>
  <si>
    <t>Dry mouth</t>
  </si>
  <si>
    <t>P0004</t>
  </si>
  <si>
    <t>Diabetes</t>
  </si>
  <si>
    <t>Glipizide</t>
  </si>
  <si>
    <t>Low blood sugar</t>
  </si>
  <si>
    <t>P0005</t>
  </si>
  <si>
    <t>Anxiety</t>
  </si>
  <si>
    <t>P0006</t>
  </si>
  <si>
    <t>Dizziness</t>
  </si>
  <si>
    <t>P0007</t>
  </si>
  <si>
    <t>P0008</t>
  </si>
  <si>
    <t>Pain Relief</t>
  </si>
  <si>
    <t>Paracetamol</t>
  </si>
  <si>
    <t>Liver issues</t>
  </si>
  <si>
    <t>P0009</t>
  </si>
  <si>
    <t>Escitalopram</t>
  </si>
  <si>
    <t>P0010</t>
  </si>
  <si>
    <t>Metformin</t>
  </si>
  <si>
    <t>P0011</t>
  </si>
  <si>
    <t>Headache</t>
  </si>
  <si>
    <t>P0012</t>
  </si>
  <si>
    <t>P0013</t>
  </si>
  <si>
    <t>Amlodipine</t>
  </si>
  <si>
    <t>P0014</t>
  </si>
  <si>
    <t>P0015</t>
  </si>
  <si>
    <t>Ibuprofen</t>
  </si>
  <si>
    <t>P0016</t>
  </si>
  <si>
    <t>Tramadol</t>
  </si>
  <si>
    <t>P0017</t>
  </si>
  <si>
    <t>Azithromycin</t>
  </si>
  <si>
    <t>Abdominal pain</t>
  </si>
  <si>
    <t>P0018</t>
  </si>
  <si>
    <t>P0019</t>
  </si>
  <si>
    <t>Sertraline</t>
  </si>
  <si>
    <t>P0020</t>
  </si>
  <si>
    <t>P0021</t>
  </si>
  <si>
    <t>P0022</t>
  </si>
  <si>
    <t>Insulin Glargine</t>
  </si>
  <si>
    <t>Low sugar</t>
  </si>
  <si>
    <t>P0023</t>
  </si>
  <si>
    <t>P0024</t>
  </si>
  <si>
    <t>Losartan</t>
  </si>
  <si>
    <t>Back pain</t>
  </si>
  <si>
    <t>P0025</t>
  </si>
  <si>
    <t>P0026</t>
  </si>
  <si>
    <t>P0027</t>
  </si>
  <si>
    <t>P0028</t>
  </si>
  <si>
    <t>P0029</t>
  </si>
  <si>
    <t>Skin rash</t>
  </si>
  <si>
    <t>P0030</t>
  </si>
  <si>
    <t>P0031</t>
  </si>
  <si>
    <t>P0032</t>
  </si>
  <si>
    <t>Weight gain</t>
  </si>
  <si>
    <t>P0033</t>
  </si>
  <si>
    <t>P0034</t>
  </si>
  <si>
    <t>P0035</t>
  </si>
  <si>
    <t>Insomnia</t>
  </si>
  <si>
    <t>P0036</t>
  </si>
  <si>
    <t>P0037</t>
  </si>
  <si>
    <t>P0038</t>
  </si>
  <si>
    <t>P0039</t>
  </si>
  <si>
    <t>P0040</t>
  </si>
  <si>
    <t>Amoxicillin</t>
  </si>
  <si>
    <t>Diarrhea</t>
  </si>
  <si>
    <t>P0041</t>
  </si>
  <si>
    <t>P0042</t>
  </si>
  <si>
    <t>Sweating</t>
  </si>
  <si>
    <t>P0043</t>
  </si>
  <si>
    <t>P0044</t>
  </si>
  <si>
    <t>Constipation</t>
  </si>
  <si>
    <t>P0045</t>
  </si>
  <si>
    <t>Allergy</t>
  </si>
  <si>
    <t>P0046</t>
  </si>
  <si>
    <t>Fatigue</t>
  </si>
  <si>
    <t>P0047</t>
  </si>
  <si>
    <t>Rash</t>
  </si>
  <si>
    <t>P0048</t>
  </si>
  <si>
    <t>P0049</t>
  </si>
  <si>
    <t>P0050</t>
  </si>
  <si>
    <t>Swelling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</si>
  <si>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</si>
  <si>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</si>
  <si>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</si>
  <si>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</si>
  <si>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</si>
  <si>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</si>
  <si>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</si>
  <si>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</si>
  <si>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Cough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</si>
  <si>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</si>
  <si>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</si>
  <si>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</si>
  <si>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</si>
  <si>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</si>
  <si>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</si>
  <si>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</si>
  <si>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</si>
  <si>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</si>
  <si>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Joint pain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</si>
  <si>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</si>
  <si>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</si>
  <si>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</si>
  <si>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</si>
  <si>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</si>
  <si>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</si>
  <si>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</si>
  <si>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</si>
  <si>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</si>
  <si>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</si>
  <si>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</si>
  <si>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</si>
  <si>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</si>
  <si>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</si>
  <si>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</si>
  <si>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Stomach upset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</si>
  <si>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</si>
  <si>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</si>
  <si>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</si>
  <si>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</si>
  <si>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</si>
  <si>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</si>
  <si>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</si>
  <si>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</si>
  <si>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</si>
  <si>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</si>
  <si>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</si>
  <si>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Drowsiness</t>
  </si>
  <si>
    <t>P0094</t>
  </si>
  <si>
    <t>Injection site pain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</si>
  <si>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</si>
  <si>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</si>
  <si>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</si>
  <si>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</si>
  <si>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</si>
  <si>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</si>
  <si>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</si>
  <si>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</si>
  <si>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</si>
  <si>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</si>
  <si>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</si>
  <si>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</si>
  <si>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</si>
  <si>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</si>
  <si>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</si>
  <si>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</si>
  <si>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</si>
  <si>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</si>
  <si>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</si>
  <si>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</si>
  <si>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</si>
  <si>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</si>
  <si>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Sleep issues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</si>
  <si>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</si>
  <si>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</si>
  <si>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</si>
  <si>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</si>
  <si>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</si>
  <si>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</si>
  <si>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</si>
  <si>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</si>
  <si>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</si>
  <si>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</si>
  <si>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</si>
  <si>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</si>
  <si>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</si>
  <si>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</si>
  <si>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</si>
  <si>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</si>
  <si>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</si>
  <si>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</si>
  <si>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</si>
  <si>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</si>
  <si>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</si>
  <si>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</si>
  <si>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</si>
  <si>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</si>
  <si>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</si>
  <si>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</si>
  <si>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</si>
  <si>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</si>
  <si>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</si>
  <si>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</si>
  <si>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</si>
  <si>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</si>
  <si>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</si>
  <si>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</si>
  <si>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</si>
  <si>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</si>
  <si>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</si>
  <si>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</si>
  <si>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</si>
  <si>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</si>
  <si>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</si>
  <si>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</si>
  <si>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</si>
  <si>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</si>
  <si>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</si>
  <si>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</si>
  <si>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</si>
  <si>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</si>
  <si>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</si>
  <si>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</si>
  <si>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</si>
  <si>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Stomach pain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</si>
  <si>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</si>
  <si>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</si>
  <si>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</si>
  <si>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</si>
  <si>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</si>
  <si>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</si>
  <si>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</si>
  <si>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</si>
  <si>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</si>
  <si>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</si>
  <si>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</si>
  <si>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</si>
  <si>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</si>
  <si>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</si>
  <si>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</si>
  <si>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</si>
  <si>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</si>
  <si>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</si>
  <si>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</si>
  <si>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</si>
  <si>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</si>
  <si>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</si>
  <si>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</si>
  <si>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</si>
  <si>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</si>
  <si>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</si>
  <si>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</si>
  <si>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</si>
  <si>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</si>
  <si>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</si>
  <si>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</si>
  <si>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</si>
  <si>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</si>
  <si>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</si>
  <si>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</si>
  <si>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</si>
  <si>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</si>
  <si>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</si>
  <si>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</si>
  <si>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</si>
  <si>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</si>
  <si>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</si>
  <si>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</si>
  <si>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</si>
  <si>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</si>
  <si>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</si>
  <si>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</si>
  <si>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</si>
  <si>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</si>
  <si>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</si>
  <si>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</si>
  <si>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</si>
  <si>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</si>
  <si>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</si>
  <si>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</si>
  <si>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</si>
  <si>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</si>
  <si>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</si>
  <si>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</si>
  <si>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</si>
  <si>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</si>
  <si>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</si>
  <si>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</si>
  <si>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</si>
  <si>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</si>
  <si>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</si>
  <si>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</si>
  <si>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</si>
  <si>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</si>
  <si>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</si>
  <si>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</si>
  <si>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</si>
  <si>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</si>
  <si>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</si>
  <si>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</si>
  <si>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</si>
  <si>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</si>
  <si>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</si>
  <si>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</si>
  <si>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</si>
  <si>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</si>
  <si>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</si>
  <si>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Slow heartbeat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</si>
  <si>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</si>
  <si>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</si>
  <si>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</si>
  <si>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</si>
  <si>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</si>
  <si>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</si>
  <si>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</si>
  <si>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</si>
  <si>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</si>
  <si>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</si>
  <si>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</si>
  <si>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</si>
  <si>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</si>
  <si>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</si>
  <si>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</si>
  <si>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</si>
  <si>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</si>
  <si>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</si>
  <si>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</si>
  <si>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</si>
  <si>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</si>
  <si>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</si>
  <si>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</si>
  <si>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</si>
  <si>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</si>
  <si>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</si>
  <si>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</si>
  <si>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</si>
  <si>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</si>
  <si>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</si>
  <si>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</si>
  <si>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</si>
  <si>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</si>
  <si>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</si>
  <si>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</si>
  <si>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</si>
  <si>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Heartburn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</si>
  <si>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</si>
  <si>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</si>
  <si>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</si>
  <si>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</si>
  <si>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</si>
  <si>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</si>
  <si>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</si>
  <si>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</si>
  <si>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</si>
  <si>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</si>
  <si>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</si>
  <si>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</si>
  <si>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</si>
  <si>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</si>
  <si>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</si>
  <si>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</si>
  <si>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</si>
  <si>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</si>
  <si>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</si>
  <si>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</si>
  <si>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</si>
  <si>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</si>
  <si>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</si>
  <si>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</si>
  <si>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</si>
  <si>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</si>
  <si>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</si>
  <si>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</si>
  <si>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</si>
  <si>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</si>
  <si>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</si>
  <si>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</si>
  <si>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</si>
  <si>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</si>
  <si>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</si>
  <si>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</si>
  <si>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</si>
  <si>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</si>
  <si>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</si>
  <si>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</si>
  <si>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</si>
  <si>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</si>
  <si>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</si>
  <si>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</si>
  <si>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</si>
  <si>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</si>
  <si>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</si>
  <si>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</si>
  <si>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</si>
  <si>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</si>
  <si>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</si>
  <si>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</si>
  <si>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</si>
  <si>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</si>
  <si>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</si>
  <si>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</si>
  <si>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</si>
  <si>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</si>
  <si>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</si>
  <si>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</si>
  <si>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</si>
  <si>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</si>
  <si>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</si>
  <si>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</si>
  <si>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</si>
  <si>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</si>
  <si>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</si>
  <si>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</si>
  <si>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</si>
  <si>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</si>
  <si>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</si>
  <si>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</si>
  <si>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</si>
  <si>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</si>
  <si>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</si>
  <si>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</si>
  <si>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</si>
  <si>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</si>
  <si>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</si>
  <si>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</si>
  <si>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</si>
  <si>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</si>
  <si>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</si>
  <si>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</si>
  <si>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</si>
  <si>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</si>
  <si>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</si>
  <si>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</si>
  <si>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</si>
  <si>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</si>
  <si>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</si>
  <si>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</si>
  <si>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</si>
  <si>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</si>
  <si>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</si>
  <si>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</si>
  <si>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</si>
  <si>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</si>
  <si>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</si>
  <si>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</si>
  <si>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</si>
  <si>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</si>
  <si>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</si>
  <si>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</si>
  <si>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</si>
  <si>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</si>
  <si>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</si>
  <si>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</si>
  <si>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</si>
  <si>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</si>
  <si>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</si>
  <si>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</si>
  <si>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</si>
  <si>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</si>
  <si>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</si>
  <si>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</si>
  <si>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</si>
  <si>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</si>
  <si>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</si>
  <si>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</si>
  <si>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</si>
  <si>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</si>
  <si>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</si>
  <si>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</si>
  <si>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</si>
  <si>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</si>
  <si>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</si>
  <si>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</si>
  <si>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</si>
  <si>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</si>
  <si>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</si>
  <si>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</si>
  <si>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</si>
  <si>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</si>
  <si>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</si>
  <si>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</si>
  <si>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</si>
  <si>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</si>
  <si>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</si>
  <si>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</si>
  <si>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</si>
  <si>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</si>
  <si>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</si>
  <si>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</si>
  <si>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</si>
  <si>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</si>
  <si>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</si>
  <si>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</si>
  <si>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</si>
  <si>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</si>
  <si>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</si>
  <si>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</si>
  <si>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</si>
  <si>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</si>
  <si>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</si>
  <si>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</si>
  <si>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</si>
  <si>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</si>
  <si>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</si>
  <si>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</si>
  <si>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</si>
  <si>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</si>
  <si>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</si>
  <si>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</si>
  <si>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</si>
  <si>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</si>
  <si>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</si>
  <si>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</si>
  <si>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</si>
  <si>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</si>
  <si>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</si>
  <si>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</si>
  <si>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</si>
  <si>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</si>
  <si>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</si>
  <si>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</si>
  <si>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</si>
  <si>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</si>
  <si>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</si>
  <si>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</si>
  <si>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</si>
  <si>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</si>
  <si>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</si>
  <si>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</si>
  <si>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</si>
  <si>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</si>
  <si>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</si>
  <si>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</si>
  <si>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</si>
  <si>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</si>
  <si>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</si>
  <si>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</si>
  <si>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</si>
  <si>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</si>
  <si>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</si>
  <si>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</si>
  <si>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</si>
  <si>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</si>
  <si>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</si>
  <si>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</si>
  <si>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</si>
  <si>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</si>
  <si>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</si>
  <si>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</si>
  <si>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</si>
  <si>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</si>
  <si>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</si>
  <si>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</si>
  <si>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</si>
  <si>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</si>
  <si>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</si>
  <si>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</si>
  <si>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</si>
  <si>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</si>
  <si>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</si>
  <si>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</si>
  <si>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</si>
  <si>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</si>
  <si>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</si>
  <si>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</si>
  <si>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</si>
  <si>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</si>
  <si>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</si>
  <si>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</si>
  <si>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</si>
  <si>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</si>
  <si>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</si>
  <si>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</si>
  <si>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</si>
  <si>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</si>
  <si>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</si>
  <si>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</si>
  <si>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</si>
  <si>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</si>
  <si>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</si>
  <si>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</si>
  <si>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</si>
  <si>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</si>
  <si>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</si>
  <si>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</si>
  <si>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</si>
  <si>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</si>
  <si>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</si>
  <si>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</si>
  <si>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</si>
  <si>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</si>
  <si>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</si>
  <si>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</si>
  <si>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</si>
  <si>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</si>
  <si>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</si>
  <si>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</si>
  <si>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</si>
  <si>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</si>
  <si>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</si>
  <si>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</si>
  <si>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</si>
  <si>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</si>
  <si>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</si>
  <si>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</si>
  <si>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</si>
  <si>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</si>
  <si>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</si>
  <si>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</si>
  <si>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</si>
  <si>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</si>
  <si>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</si>
  <si>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</si>
  <si>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</si>
  <si>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</si>
  <si>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</si>
  <si>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</si>
  <si>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</si>
  <si>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</si>
  <si>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</si>
  <si>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</si>
  <si>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</si>
  <si>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</si>
  <si>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</si>
  <si>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</si>
  <si>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</si>
  <si>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</si>
  <si>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</si>
  <si>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</si>
  <si>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</si>
  <si>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</si>
  <si>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</si>
  <si>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</si>
  <si>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</si>
  <si>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</si>
  <si>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</si>
  <si>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</si>
  <si>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</si>
  <si>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</si>
  <si>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</si>
  <si>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</si>
  <si>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</si>
  <si>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</si>
  <si>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</si>
  <si>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</si>
  <si>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</si>
  <si>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</si>
  <si>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</si>
  <si>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</si>
  <si>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</si>
  <si>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</si>
  <si>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</si>
  <si>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</si>
  <si>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</si>
  <si>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</si>
  <si>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</si>
  <si>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</si>
  <si>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</si>
  <si>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</si>
  <si>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</si>
  <si>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</si>
  <si>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</si>
  <si>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</si>
  <si>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</si>
  <si>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</si>
  <si>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</si>
  <si>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</si>
  <si>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</si>
  <si>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</si>
  <si>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</si>
  <si>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</si>
  <si>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</si>
  <si>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</si>
  <si>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</si>
  <si>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</si>
  <si>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</si>
  <si>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</si>
  <si>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</si>
  <si>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</si>
  <si>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</si>
  <si>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</si>
  <si>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</si>
  <si>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</si>
  <si>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</si>
  <si>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</si>
  <si>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</si>
  <si>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</si>
  <si>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</si>
  <si>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</si>
  <si>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</si>
  <si>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</si>
  <si>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</si>
  <si>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</si>
  <si>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</si>
  <si>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</si>
  <si>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</si>
  <si>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</si>
  <si>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</si>
  <si>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</si>
  <si>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</si>
  <si>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</si>
  <si>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</si>
  <si>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</si>
  <si>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</si>
  <si>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</si>
  <si>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</si>
  <si>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</si>
  <si>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</si>
  <si>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</si>
  <si>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</si>
  <si>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</si>
  <si>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</si>
  <si>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</si>
  <si>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</si>
  <si>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</si>
  <si>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</si>
  <si>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</si>
  <si>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</si>
  <si>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</si>
  <si>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</si>
  <si>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</si>
  <si>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</si>
  <si>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</si>
  <si>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</si>
  <si>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</si>
  <si>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</si>
  <si>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</si>
  <si>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</si>
  <si>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</si>
  <si>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</si>
  <si>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</si>
  <si>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</si>
  <si>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</si>
  <si>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</si>
  <si>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</si>
  <si>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</si>
  <si>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</si>
  <si>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</si>
  <si>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</si>
  <si>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</si>
  <si>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</si>
  <si>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</si>
  <si>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</si>
  <si>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</si>
  <si>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</si>
  <si>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</si>
  <si>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</si>
  <si>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</si>
  <si>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</si>
  <si>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</si>
  <si>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</si>
  <si>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</si>
  <si>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</si>
  <si>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</si>
  <si>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</si>
  <si>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</si>
  <si>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</si>
  <si>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</si>
  <si>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</si>
  <si>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</si>
  <si>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</si>
  <si>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</si>
  <si>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</si>
  <si>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</si>
  <si>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</si>
  <si>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</si>
  <si>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</si>
  <si>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</si>
  <si>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</si>
  <si>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</si>
  <si>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</si>
  <si>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</si>
  <si>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</si>
  <si>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</si>
  <si>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</si>
  <si>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</si>
  <si>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</si>
  <si>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</si>
  <si>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</si>
  <si>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</si>
  <si>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</si>
  <si>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</si>
  <si>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</si>
  <si>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</si>
  <si>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</si>
  <si>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</si>
  <si>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</si>
  <si>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</si>
  <si>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</si>
  <si>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</si>
  <si>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</si>
  <si>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</si>
  <si>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</si>
  <si>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</si>
  <si>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</si>
  <si>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</si>
  <si>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</si>
  <si>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</si>
  <si>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</si>
  <si>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</si>
  <si>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</si>
  <si>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</si>
  <si>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</si>
  <si>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</si>
  <si>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</si>
  <si>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</si>
  <si>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</si>
  <si>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</si>
  <si>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</si>
  <si>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</si>
  <si>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</si>
  <si>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</si>
  <si>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</si>
  <si>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</si>
  <si>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</si>
  <si>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</si>
  <si>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</si>
  <si>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</si>
  <si>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</si>
  <si>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</si>
  <si>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</si>
  <si>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</si>
  <si>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</si>
  <si>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</si>
  <si>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</si>
  <si>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</si>
  <si>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</si>
  <si>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</si>
  <si>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</si>
  <si>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</si>
  <si>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</si>
  <si>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</si>
  <si>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</si>
  <si>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</si>
  <si>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</si>
  <si>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</si>
  <si>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</si>
  <si>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</si>
  <si>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</si>
  <si>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</si>
  <si>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</si>
  <si>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</si>
  <si>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</si>
  <si>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</si>
  <si>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</si>
  <si>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</si>
  <si>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</si>
  <si>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</si>
  <si>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</si>
  <si>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</si>
  <si>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</si>
  <si>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</si>
  <si>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</si>
  <si>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</si>
  <si>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</si>
  <si>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</si>
  <si>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</si>
  <si>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</si>
  <si>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</si>
  <si>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</si>
  <si>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</si>
  <si>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</si>
  <si>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</si>
  <si>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</si>
  <si>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</si>
  <si>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</si>
  <si>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</si>
  <si>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</si>
  <si>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</si>
  <si>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</si>
  <si>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</si>
  <si>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</si>
  <si>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</si>
  <si>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</si>
  <si>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</si>
  <si>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</si>
  <si>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</si>
  <si>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</si>
  <si>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</si>
  <si>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</si>
  <si>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</si>
  <si>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</si>
  <si>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</si>
  <si>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</si>
  <si>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</si>
  <si>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</si>
  <si>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</si>
  <si>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</si>
  <si>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</si>
  <si>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</si>
  <si>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</si>
  <si>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</si>
  <si>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</si>
  <si>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</si>
  <si>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</si>
  <si>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</si>
  <si>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</si>
  <si>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</si>
  <si>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</si>
  <si>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</si>
  <si>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</si>
  <si>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</si>
  <si>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</si>
  <si>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</si>
  <si>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</si>
  <si>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</si>
  <si>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</si>
  <si>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</si>
  <si>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</si>
  <si>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</si>
  <si>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</si>
  <si>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</si>
  <si>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</si>
  <si>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</si>
  <si>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</si>
  <si>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</si>
  <si>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</si>
  <si>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</si>
  <si>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</si>
  <si>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</si>
  <si>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</si>
  <si>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</si>
  <si>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</si>
  <si>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</si>
  <si>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</si>
  <si>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</si>
  <si>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</si>
  <si>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</si>
  <si>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</si>
  <si>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</si>
  <si>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</si>
  <si>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</si>
  <si>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</si>
  <si>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</si>
  <si>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</si>
  <si>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</si>
  <si>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</si>
  <si>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</si>
  <si>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</si>
  <si>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</si>
  <si>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</si>
  <si>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</si>
  <si>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</si>
  <si>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</si>
  <si>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</si>
  <si>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</si>
  <si>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</si>
  <si>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</si>
  <si>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</si>
  <si>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</si>
  <si>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</si>
  <si>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</si>
  <si>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</si>
  <si>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</si>
  <si>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</si>
  <si>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</si>
  <si>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</si>
  <si>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</si>
  <si>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</si>
  <si>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</si>
  <si>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</si>
  <si>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</si>
  <si>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</si>
  <si>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</si>
  <si>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</si>
  <si>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</si>
  <si>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</si>
  <si>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</si>
  <si>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</si>
  <si>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</si>
  <si>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</si>
  <si>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</si>
  <si>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</si>
  <si>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</si>
  <si>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</si>
  <si>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</si>
  <si>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</si>
  <si>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</si>
  <si>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</si>
  <si>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</si>
  <si>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</si>
  <si>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</si>
  <si>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</si>
  <si>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</si>
  <si>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</si>
  <si>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</si>
  <si>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</si>
  <si>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</si>
  <si>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</si>
  <si>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</si>
  <si>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</si>
  <si>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</si>
  <si>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</si>
  <si>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</si>
  <si>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</si>
  <si>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</si>
  <si>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</si>
  <si>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</si>
  <si>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</si>
  <si>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</si>
  <si>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</si>
  <si>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</si>
  <si>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</si>
  <si>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</si>
  <si>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</si>
  <si>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</si>
  <si>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</si>
  <si>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</si>
  <si>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</si>
  <si>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</si>
  <si>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</si>
  <si>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</si>
  <si>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</si>
  <si>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</si>
  <si>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</si>
  <si>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</si>
  <si>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</si>
  <si>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</si>
  <si>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</si>
  <si>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</si>
  <si>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</si>
  <si>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</si>
  <si>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</si>
  <si>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</si>
  <si>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</si>
  <si>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</si>
  <si>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</si>
  <si>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</si>
  <si>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</si>
  <si>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</si>
  <si>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</si>
  <si>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</si>
  <si>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</si>
  <si>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</si>
  <si>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</si>
  <si>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</si>
  <si>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</si>
  <si>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</si>
  <si>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</si>
  <si>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</si>
  <si>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</si>
  <si>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</si>
  <si>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</si>
  <si>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</si>
  <si>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</si>
  <si>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</si>
  <si>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</si>
  <si>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</si>
  <si>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</si>
  <si>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</si>
  <si>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</si>
  <si>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</si>
  <si>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</si>
  <si>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</si>
  <si>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</si>
  <si>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</si>
  <si>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</si>
  <si>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</si>
  <si>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</si>
  <si>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</si>
  <si>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Age Group</t>
  </si>
  <si>
    <t>pain relief</t>
  </si>
  <si>
    <t>duration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</si>
</sst>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EBA4-260C-42B5-97D4-5C309A2F6C57}">
  <dimension ref="A1:O1001"/>
  <sheetViews>
    <sheetView tabSelected="1" workbookViewId="0"/>
  </sheetViews>
  <sheetFormatPr defaultRowHeight="15" x14ac:dyDescent="0.25"/>
  <cols>
    <col min="1" max="1" width="10.28515625" bestFit="1" customWidth="1"/>
    <col min="2" max="2" width="4.42578125" bestFit="1" customWidth="1"/>
    <col min="4" max="4" width="13.140625" bestFit="1" customWidth="1"/>
    <col min="5" max="5" width="15" bestFit="1" customWidth="1"/>
    <col min="6" max="6" width="11.140625" bestFit="1" customWidth="1"/>
    <col min="7" max="7" width="24.42578125" bestFit="1" customWidth="1"/>
    <col min="8" max="8" width="17" bestFit="1" customWidth="1"/>
    <col min="9" max="9" width="19.28515625" bestFit="1" customWidth="1"/>
  </cols>
  <sheetData>
    <row r="1" spans="1:15" x14ac:dyDescent="0.25">
      <c r="A1" s="7" t="s">
        <v>0</v>
      </c>
      <c r="B1" s="8" t="s">
        <v>1</v>
      </c>
      <c r="C1" s="8" t="s">
        <v>1061</v>
      </c>
      <c r="D1" s="8" t="s">
        <v>2</v>
      </c>
      <c r="E1" s="8" t="s">
        <v>3</v>
      </c>
      <c r="F1" s="8" t="s">
        <v>15</v>
      </c>
      <c r="G1" s="8" t="s">
        <v>20</v>
      </c>
      <c r="H1" s="8" t="s">
        <v>24</v>
      </c>
      <c r="I1" s="8" t="s">
        <v>1062</v>
      </c>
      <c r="J1" s="8" t="s">
        <v>5</v>
      </c>
      <c r="K1" s="8" t="s">
        <v>4</v>
      </c>
      <c r="L1" s="8" t="s">
        <v>6</v>
      </c>
      <c r="M1" s="8" t="s">
        <v>1063</v>
      </c>
      <c r="N1" s="8" t="s">
        <v>7</v>
      </c>
      <c r="O1" s="9" t="s">
        <v>8</v>
      </c>
    </row>
    <row r="2" spans="1:15" x14ac:dyDescent="0.25">
      <c r="A2" s="1" t="s">
        <v>9</v>
      </c>
      <c r="B2" s="2">
        <v>56</v>
      </c>
      <c r="C2" t="str" cm="1">
        <f t="array" ref="C2">_xlfn.IFS(B2&lt;=30,"Young",B2&lt;=50,"Middle-aged",B2&gt;50,"Older")</f>
        <v>Older</v>
      </c>
      <c r="D2" s="2" t="s">
        <v>10</v>
      </c>
      <c r="E2" s="2" t="s">
        <v>11</v>
      </c>
      <c r="F2" s="2">
        <f>IF($E2="Hypertension",1,0)</f>
        <v>0</v>
      </c>
      <c r="G2" s="2">
        <f t="shared" ref="G2:G65" si="0">IF($E2="Depression",1,0)</f>
        <v>0</v>
      </c>
      <c r="H2" s="2">
        <f t="shared" ref="H2:H65" si="1">IF($E2="Diabetes",1,0)</f>
        <v>0</v>
      </c>
      <c r="I2" s="2">
        <f t="shared" ref="I2:I65" si="2">IF($E2="Pain relief",1,0)</f>
        <v>0</v>
      </c>
      <c r="J2" s="2">
        <v>50</v>
      </c>
      <c r="K2" s="2" t="s">
        <v>12</v>
      </c>
      <c r="L2" s="2">
        <v>9</v>
      </c>
      <c r="M2" t="str" cm="1">
        <f t="array" ref="M2">_xlfn.IFS(L2&lt;=14,"Short",L2&lt;=30,"Medium",L2&lt;=45,"Long",L2&lt;=60,"Very Long")</f>
        <v>Short</v>
      </c>
      <c r="N2" s="2" t="s">
        <v>13</v>
      </c>
      <c r="O2" s="3">
        <v>8.5</v>
      </c>
    </row>
    <row r="3" spans="1:15" x14ac:dyDescent="0.25">
      <c r="A3" s="4" t="s">
        <v>14</v>
      </c>
      <c r="B3" s="5">
        <v>69</v>
      </c>
      <c r="C3" t="str" cm="1">
        <f t="array" ref="C3">_xlfn.IFS(B3&lt;=30,"Young",B3&lt;=50,"Middle-aged",B3&gt;50,"Older")</f>
        <v>Older</v>
      </c>
      <c r="D3" s="5" t="s">
        <v>10</v>
      </c>
      <c r="E3" s="5" t="s">
        <v>15</v>
      </c>
      <c r="F3" s="5">
        <f t="shared" ref="F3:F66" si="3">IF($E3="Hypertension",1,0)</f>
        <v>1</v>
      </c>
      <c r="G3" s="5">
        <f t="shared" si="0"/>
        <v>0</v>
      </c>
      <c r="H3" s="5">
        <f t="shared" si="1"/>
        <v>0</v>
      </c>
      <c r="I3" s="5">
        <f t="shared" si="2"/>
        <v>0</v>
      </c>
      <c r="J3" s="5">
        <v>500</v>
      </c>
      <c r="K3" s="5" t="s">
        <v>16</v>
      </c>
      <c r="L3" s="5">
        <v>24</v>
      </c>
      <c r="M3" t="str" cm="1">
        <f t="array" ref="M3">_xlfn.IFS(L3&lt;=14,"Short",L3&lt;=30,"Medium",L3&lt;=45,"Long",L3&lt;=60,"Very Long")</f>
        <v>Medium</v>
      </c>
      <c r="N3" s="5" t="s">
        <v>17</v>
      </c>
      <c r="O3" s="6">
        <v>8.6999999999999993</v>
      </c>
    </row>
    <row r="4" spans="1:15" x14ac:dyDescent="0.25">
      <c r="A4" s="1" t="s">
        <v>18</v>
      </c>
      <c r="B4" s="2">
        <v>46</v>
      </c>
      <c r="C4" t="str" cm="1">
        <f t="array" ref="C4">_xlfn.IFS(B4&lt;=30,"Young",B4&lt;=50,"Middle-aged",B4&gt;50,"Older")</f>
        <v>Middle-aged</v>
      </c>
      <c r="D4" s="2" t="s">
        <v>19</v>
      </c>
      <c r="E4" s="2" t="s">
        <v>20</v>
      </c>
      <c r="F4" s="2">
        <f t="shared" si="3"/>
        <v>0</v>
      </c>
      <c r="G4" s="2">
        <f t="shared" si="0"/>
        <v>1</v>
      </c>
      <c r="H4" s="2">
        <f t="shared" si="1"/>
        <v>0</v>
      </c>
      <c r="I4" s="2">
        <f t="shared" si="2"/>
        <v>0</v>
      </c>
      <c r="J4" s="2">
        <v>100</v>
      </c>
      <c r="K4" s="2" t="s">
        <v>21</v>
      </c>
      <c r="L4" s="2">
        <v>25</v>
      </c>
      <c r="M4" t="str" cm="1">
        <f t="array" ref="M4">_xlfn.IFS(L4&lt;=14,"Short",L4&lt;=30,"Medium",L4&lt;=45,"Long",L4&lt;=60,"Very Long")</f>
        <v>Medium</v>
      </c>
      <c r="N4" s="2" t="s">
        <v>22</v>
      </c>
      <c r="O4" s="3">
        <v>5.4</v>
      </c>
    </row>
    <row r="5" spans="1:15" x14ac:dyDescent="0.25">
      <c r="A5" s="4" t="s">
        <v>23</v>
      </c>
      <c r="B5" s="5">
        <v>32</v>
      </c>
      <c r="C5" t="str" cm="1">
        <f t="array" ref="C5">_xlfn.IFS(B5&lt;=30,"Young",B5&lt;=50,"Middle-aged",B5&gt;50,"Older")</f>
        <v>Middle-aged</v>
      </c>
      <c r="D5" s="5" t="s">
        <v>10</v>
      </c>
      <c r="E5" s="5" t="s">
        <v>24</v>
      </c>
      <c r="F5" s="5">
        <f t="shared" si="3"/>
        <v>0</v>
      </c>
      <c r="G5" s="5">
        <f t="shared" si="0"/>
        <v>0</v>
      </c>
      <c r="H5" s="5">
        <f t="shared" si="1"/>
        <v>1</v>
      </c>
      <c r="I5" s="5">
        <f t="shared" si="2"/>
        <v>0</v>
      </c>
      <c r="J5" s="5">
        <v>850</v>
      </c>
      <c r="K5" s="5" t="s">
        <v>25</v>
      </c>
      <c r="L5" s="5">
        <v>44</v>
      </c>
      <c r="M5" t="str" cm="1">
        <f t="array" ref="M5">_xlfn.IFS(L5&lt;=14,"Short",L5&lt;=30,"Medium",L5&lt;=45,"Long",L5&lt;=60,"Very Long")</f>
        <v>Long</v>
      </c>
      <c r="N5" s="5" t="s">
        <v>26</v>
      </c>
      <c r="O5" s="6">
        <v>6.4</v>
      </c>
    </row>
    <row r="6" spans="1:15" x14ac:dyDescent="0.25">
      <c r="A6" s="1" t="s">
        <v>27</v>
      </c>
      <c r="B6" s="2">
        <v>60</v>
      </c>
      <c r="C6" t="str" cm="1">
        <f t="array" ref="C6">_xlfn.IFS(B6&lt;=30,"Young",B6&lt;=50,"Middle-aged",B6&gt;50,"Older")</f>
        <v>Older</v>
      </c>
      <c r="D6" s="2" t="s">
        <v>10</v>
      </c>
      <c r="E6" s="2" t="s">
        <v>20</v>
      </c>
      <c r="F6" s="2">
        <f t="shared" si="3"/>
        <v>0</v>
      </c>
      <c r="G6" s="2">
        <f t="shared" si="0"/>
        <v>1</v>
      </c>
      <c r="H6" s="2">
        <f t="shared" si="1"/>
        <v>0</v>
      </c>
      <c r="I6" s="2">
        <f t="shared" si="2"/>
        <v>0</v>
      </c>
      <c r="J6" s="2">
        <v>850</v>
      </c>
      <c r="K6" s="2" t="s">
        <v>21</v>
      </c>
      <c r="L6" s="2">
        <v>35</v>
      </c>
      <c r="M6" t="str" cm="1">
        <f t="array" ref="M6">_xlfn.IFS(L6&lt;=14,"Short",L6&lt;=30,"Medium",L6&lt;=45,"Long",L6&lt;=60,"Very Long")</f>
        <v>Long</v>
      </c>
      <c r="N6" s="2" t="s">
        <v>28</v>
      </c>
      <c r="O6" s="3">
        <v>5.3</v>
      </c>
    </row>
    <row r="7" spans="1:15" x14ac:dyDescent="0.25">
      <c r="A7" s="4" t="s">
        <v>29</v>
      </c>
      <c r="B7" s="5">
        <v>25</v>
      </c>
      <c r="C7" t="str" cm="1">
        <f t="array" ref="C7">_xlfn.IFS(B7&lt;=30,"Young",B7&lt;=50,"Middle-aged",B7&gt;50,"Older")</f>
        <v>Young</v>
      </c>
      <c r="D7" s="5" t="s">
        <v>19</v>
      </c>
      <c r="E7" s="5" t="s">
        <v>11</v>
      </c>
      <c r="F7" s="5">
        <f t="shared" si="3"/>
        <v>0</v>
      </c>
      <c r="G7" s="5">
        <f t="shared" si="0"/>
        <v>0</v>
      </c>
      <c r="H7" s="5">
        <f t="shared" si="1"/>
        <v>0</v>
      </c>
      <c r="I7" s="5">
        <f t="shared" si="2"/>
        <v>0</v>
      </c>
      <c r="J7" s="5">
        <v>850</v>
      </c>
      <c r="K7" s="5" t="s">
        <v>12</v>
      </c>
      <c r="L7" s="5">
        <v>50</v>
      </c>
      <c r="M7" t="str" cm="1">
        <f t="array" ref="M7">_xlfn.IFS(L7&lt;=14,"Short",L7&lt;=30,"Medium",L7&lt;=45,"Long",L7&lt;=60,"Very Long")</f>
        <v>Very Long</v>
      </c>
      <c r="N7" s="5" t="s">
        <v>30</v>
      </c>
      <c r="O7" s="6">
        <v>6.7</v>
      </c>
    </row>
    <row r="8" spans="1:15" x14ac:dyDescent="0.25">
      <c r="A8" s="1" t="s">
        <v>31</v>
      </c>
      <c r="B8" s="2">
        <v>78</v>
      </c>
      <c r="C8" t="str" cm="1">
        <f t="array" ref="C8">_xlfn.IFS(B8&lt;=30,"Young",B8&lt;=50,"Middle-aged",B8&gt;50,"Older")</f>
        <v>Older</v>
      </c>
      <c r="D8" s="2" t="s">
        <v>10</v>
      </c>
      <c r="E8" s="2" t="s">
        <v>24</v>
      </c>
      <c r="F8" s="2">
        <f t="shared" si="3"/>
        <v>0</v>
      </c>
      <c r="G8" s="2">
        <f t="shared" si="0"/>
        <v>0</v>
      </c>
      <c r="H8" s="2">
        <f t="shared" si="1"/>
        <v>1</v>
      </c>
      <c r="I8" s="2">
        <f t="shared" si="2"/>
        <v>0</v>
      </c>
      <c r="J8" s="2">
        <v>250</v>
      </c>
      <c r="K8" s="2" t="s">
        <v>25</v>
      </c>
      <c r="L8" s="2">
        <v>40</v>
      </c>
      <c r="M8" t="str" cm="1">
        <f t="array" ref="M8">_xlfn.IFS(L8&lt;=14,"Short",L8&lt;=30,"Medium",L8&lt;=45,"Long",L8&lt;=60,"Very Long")</f>
        <v>Long</v>
      </c>
      <c r="N8" s="2" t="s">
        <v>13</v>
      </c>
      <c r="O8" s="3">
        <v>6.5</v>
      </c>
    </row>
    <row r="9" spans="1:15" x14ac:dyDescent="0.25">
      <c r="A9" s="4" t="s">
        <v>32</v>
      </c>
      <c r="B9" s="5">
        <v>38</v>
      </c>
      <c r="C9" t="str" cm="1">
        <f t="array" ref="C9">_xlfn.IFS(B9&lt;=30,"Young",B9&lt;=50,"Middle-aged",B9&gt;50,"Older")</f>
        <v>Middle-aged</v>
      </c>
      <c r="D9" s="5" t="s">
        <v>10</v>
      </c>
      <c r="E9" s="5" t="s">
        <v>33</v>
      </c>
      <c r="F9" s="5">
        <f t="shared" si="3"/>
        <v>0</v>
      </c>
      <c r="G9" s="5">
        <f t="shared" si="0"/>
        <v>0</v>
      </c>
      <c r="H9" s="5">
        <f t="shared" si="1"/>
        <v>0</v>
      </c>
      <c r="I9" s="5">
        <f t="shared" si="2"/>
        <v>1</v>
      </c>
      <c r="J9" s="5">
        <v>100</v>
      </c>
      <c r="K9" s="5" t="s">
        <v>34</v>
      </c>
      <c r="L9" s="5">
        <v>15</v>
      </c>
      <c r="M9" t="str" cm="1">
        <f t="array" ref="M9">_xlfn.IFS(L9&lt;=14,"Short",L9&lt;=30,"Medium",L9&lt;=45,"Long",L9&lt;=60,"Very Long")</f>
        <v>Medium</v>
      </c>
      <c r="N9" s="5" t="s">
        <v>35</v>
      </c>
      <c r="O9" s="6">
        <v>8.1999999999999993</v>
      </c>
    </row>
    <row r="10" spans="1:15" x14ac:dyDescent="0.25">
      <c r="A10" s="1" t="s">
        <v>36</v>
      </c>
      <c r="B10" s="2">
        <v>56</v>
      </c>
      <c r="C10" t="str" cm="1">
        <f t="array" ref="C10">_xlfn.IFS(B10&lt;=30,"Young",B10&lt;=50,"Middle-aged",B10&gt;50,"Older")</f>
        <v>Older</v>
      </c>
      <c r="D10" s="2" t="s">
        <v>10</v>
      </c>
      <c r="E10" s="2" t="s">
        <v>20</v>
      </c>
      <c r="F10" s="2">
        <f t="shared" si="3"/>
        <v>0</v>
      </c>
      <c r="G10" s="2">
        <f t="shared" si="0"/>
        <v>1</v>
      </c>
      <c r="H10" s="2">
        <f t="shared" si="1"/>
        <v>0</v>
      </c>
      <c r="I10" s="2">
        <f t="shared" si="2"/>
        <v>0</v>
      </c>
      <c r="J10" s="2">
        <v>850</v>
      </c>
      <c r="K10" s="2" t="s">
        <v>37</v>
      </c>
      <c r="L10" s="2">
        <v>56</v>
      </c>
      <c r="M10" t="str" cm="1">
        <f t="array" ref="M10">_xlfn.IFS(L10&lt;=14,"Short",L10&lt;=30,"Medium",L10&lt;=45,"Long",L10&lt;=60,"Very Long")</f>
        <v>Very Long</v>
      </c>
      <c r="N10" s="2" t="s">
        <v>13</v>
      </c>
      <c r="O10" s="3">
        <v>9</v>
      </c>
    </row>
    <row r="11" spans="1:15" x14ac:dyDescent="0.25">
      <c r="A11" s="4" t="s">
        <v>38</v>
      </c>
      <c r="B11" s="5">
        <v>75</v>
      </c>
      <c r="C11" t="str" cm="1">
        <f t="array" ref="C11">_xlfn.IFS(B11&lt;=30,"Young",B11&lt;=50,"Middle-aged",B11&gt;50,"Older")</f>
        <v>Older</v>
      </c>
      <c r="D11" s="5" t="s">
        <v>10</v>
      </c>
      <c r="E11" s="5" t="s">
        <v>24</v>
      </c>
      <c r="F11" s="5">
        <f t="shared" si="3"/>
        <v>0</v>
      </c>
      <c r="G11" s="5">
        <f t="shared" si="0"/>
        <v>0</v>
      </c>
      <c r="H11" s="5">
        <f t="shared" si="1"/>
        <v>1</v>
      </c>
      <c r="I11" s="5">
        <f t="shared" si="2"/>
        <v>0</v>
      </c>
      <c r="J11" s="5">
        <v>850</v>
      </c>
      <c r="K11" s="5" t="s">
        <v>39</v>
      </c>
      <c r="L11" s="5">
        <v>19</v>
      </c>
      <c r="M11" t="str" cm="1">
        <f t="array" ref="M11">_xlfn.IFS(L11&lt;=14,"Short",L11&lt;=30,"Medium",L11&lt;=45,"Long",L11&lt;=60,"Very Long")</f>
        <v>Medium</v>
      </c>
      <c r="N11" s="5" t="s">
        <v>13</v>
      </c>
      <c r="O11" s="6">
        <v>9.1</v>
      </c>
    </row>
    <row r="12" spans="1:15" x14ac:dyDescent="0.25">
      <c r="A12" s="1" t="s">
        <v>40</v>
      </c>
      <c r="B12" s="2">
        <v>36</v>
      </c>
      <c r="C12" t="str" cm="1">
        <f t="array" ref="C12">_xlfn.IFS(B12&lt;=30,"Young",B12&lt;=50,"Middle-aged",B12&gt;50,"Older")</f>
        <v>Middle-aged</v>
      </c>
      <c r="D12" s="2" t="s">
        <v>10</v>
      </c>
      <c r="E12" s="2" t="s">
        <v>20</v>
      </c>
      <c r="F12" s="2">
        <f t="shared" si="3"/>
        <v>0</v>
      </c>
      <c r="G12" s="2">
        <f t="shared" si="0"/>
        <v>1</v>
      </c>
      <c r="H12" s="2">
        <f t="shared" si="1"/>
        <v>0</v>
      </c>
      <c r="I12" s="2">
        <f t="shared" si="2"/>
        <v>0</v>
      </c>
      <c r="J12" s="2">
        <v>50</v>
      </c>
      <c r="K12" s="2" t="s">
        <v>21</v>
      </c>
      <c r="L12" s="2">
        <v>23</v>
      </c>
      <c r="M12" t="str" cm="1">
        <f t="array" ref="M12">_xlfn.IFS(L12&lt;=14,"Short",L12&lt;=30,"Medium",L12&lt;=45,"Long",L12&lt;=60,"Very Long")</f>
        <v>Medium</v>
      </c>
      <c r="N12" s="2" t="s">
        <v>41</v>
      </c>
      <c r="O12" s="3">
        <v>6.2</v>
      </c>
    </row>
    <row r="13" spans="1:15" x14ac:dyDescent="0.25">
      <c r="A13" s="4" t="s">
        <v>42</v>
      </c>
      <c r="B13" s="5">
        <v>40</v>
      </c>
      <c r="C13" t="str" cm="1">
        <f t="array" ref="C13">_xlfn.IFS(B13&lt;=30,"Young",B13&lt;=50,"Middle-aged",B13&gt;50,"Older")</f>
        <v>Middle-aged</v>
      </c>
      <c r="D13" s="5" t="s">
        <v>19</v>
      </c>
      <c r="E13" s="5" t="s">
        <v>24</v>
      </c>
      <c r="F13" s="5">
        <f t="shared" si="3"/>
        <v>0</v>
      </c>
      <c r="G13" s="5">
        <f t="shared" si="0"/>
        <v>0</v>
      </c>
      <c r="H13" s="5">
        <f t="shared" si="1"/>
        <v>1</v>
      </c>
      <c r="I13" s="5">
        <f t="shared" si="2"/>
        <v>0</v>
      </c>
      <c r="J13" s="5">
        <v>500</v>
      </c>
      <c r="K13" s="5" t="s">
        <v>25</v>
      </c>
      <c r="L13" s="5">
        <v>11</v>
      </c>
      <c r="M13" t="str" cm="1">
        <f t="array" ref="M13">_xlfn.IFS(L13&lt;=14,"Short",L13&lt;=30,"Medium",L13&lt;=45,"Long",L13&lt;=60,"Very Long")</f>
        <v>Short</v>
      </c>
      <c r="N13" s="5" t="s">
        <v>13</v>
      </c>
      <c r="O13" s="6">
        <v>6.7</v>
      </c>
    </row>
    <row r="14" spans="1:15" x14ac:dyDescent="0.25">
      <c r="A14" s="1" t="s">
        <v>43</v>
      </c>
      <c r="B14" s="2">
        <v>28</v>
      </c>
      <c r="C14" t="str" cm="1">
        <f t="array" ref="C14">_xlfn.IFS(B14&lt;=30,"Young",B14&lt;=50,"Middle-aged",B14&gt;50,"Older")</f>
        <v>Young</v>
      </c>
      <c r="D14" s="2" t="s">
        <v>10</v>
      </c>
      <c r="E14" s="2" t="s">
        <v>15</v>
      </c>
      <c r="F14" s="2">
        <f t="shared" si="3"/>
        <v>1</v>
      </c>
      <c r="G14" s="2">
        <f t="shared" si="0"/>
        <v>0</v>
      </c>
      <c r="H14" s="2">
        <f t="shared" si="1"/>
        <v>0</v>
      </c>
      <c r="I14" s="2">
        <f t="shared" si="2"/>
        <v>0</v>
      </c>
      <c r="J14" s="2">
        <v>50</v>
      </c>
      <c r="K14" s="2" t="s">
        <v>44</v>
      </c>
      <c r="L14" s="2">
        <v>55</v>
      </c>
      <c r="M14" t="str" cm="1">
        <f t="array" ref="M14">_xlfn.IFS(L14&lt;=14,"Short",L14&lt;=30,"Medium",L14&lt;=45,"Long",L14&lt;=60,"Very Long")</f>
        <v>Very Long</v>
      </c>
      <c r="N14" s="2" t="s">
        <v>30</v>
      </c>
      <c r="O14" s="3">
        <v>4.5</v>
      </c>
    </row>
    <row r="15" spans="1:15" x14ac:dyDescent="0.25">
      <c r="A15" s="4" t="s">
        <v>45</v>
      </c>
      <c r="B15" s="5">
        <v>28</v>
      </c>
      <c r="C15" t="str" cm="1">
        <f t="array" ref="C15">_xlfn.IFS(B15&lt;=30,"Young",B15&lt;=50,"Middle-aged",B15&gt;50,"Older")</f>
        <v>Young</v>
      </c>
      <c r="D15" s="5" t="s">
        <v>10</v>
      </c>
      <c r="E15" s="5" t="s">
        <v>20</v>
      </c>
      <c r="F15" s="5">
        <f t="shared" si="3"/>
        <v>0</v>
      </c>
      <c r="G15" s="5">
        <f t="shared" si="0"/>
        <v>1</v>
      </c>
      <c r="H15" s="5">
        <f t="shared" si="1"/>
        <v>0</v>
      </c>
      <c r="I15" s="5">
        <f t="shared" si="2"/>
        <v>0</v>
      </c>
      <c r="J15" s="5">
        <v>250</v>
      </c>
      <c r="K15" s="5" t="s">
        <v>21</v>
      </c>
      <c r="L15" s="5">
        <v>32</v>
      </c>
      <c r="M15" t="str" cm="1">
        <f t="array" ref="M15">_xlfn.IFS(L15&lt;=14,"Short",L15&lt;=30,"Medium",L15&lt;=45,"Long",L15&lt;=60,"Very Long")</f>
        <v>Long</v>
      </c>
      <c r="N15" s="5" t="s">
        <v>22</v>
      </c>
      <c r="O15" s="6">
        <v>5.8</v>
      </c>
    </row>
    <row r="16" spans="1:15" x14ac:dyDescent="0.25">
      <c r="A16" s="1" t="s">
        <v>46</v>
      </c>
      <c r="B16" s="2">
        <v>41</v>
      </c>
      <c r="C16" t="str" cm="1">
        <f t="array" ref="C16">_xlfn.IFS(B16&lt;=30,"Young",B16&lt;=50,"Middle-aged",B16&gt;50,"Older")</f>
        <v>Middle-aged</v>
      </c>
      <c r="D16" s="2" t="s">
        <v>10</v>
      </c>
      <c r="E16" s="2" t="s">
        <v>33</v>
      </c>
      <c r="F16" s="2">
        <f t="shared" si="3"/>
        <v>0</v>
      </c>
      <c r="G16" s="2">
        <f t="shared" si="0"/>
        <v>0</v>
      </c>
      <c r="H16" s="2">
        <f t="shared" si="1"/>
        <v>0</v>
      </c>
      <c r="I16" s="2">
        <f t="shared" si="2"/>
        <v>1</v>
      </c>
      <c r="J16" s="2">
        <v>850</v>
      </c>
      <c r="K16" s="2" t="s">
        <v>47</v>
      </c>
      <c r="L16" s="2">
        <v>55</v>
      </c>
      <c r="M16" t="str" cm="1">
        <f t="array" ref="M16">_xlfn.IFS(L16&lt;=14,"Short",L16&lt;=30,"Medium",L16&lt;=45,"Long",L16&lt;=60,"Very Long")</f>
        <v>Very Long</v>
      </c>
      <c r="N16" s="2" t="s">
        <v>13</v>
      </c>
      <c r="O16" s="3">
        <v>8.4</v>
      </c>
    </row>
    <row r="17" spans="1:15" x14ac:dyDescent="0.25">
      <c r="A17" s="4" t="s">
        <v>48</v>
      </c>
      <c r="B17" s="5">
        <v>70</v>
      </c>
      <c r="C17" t="str" cm="1">
        <f t="array" ref="C17">_xlfn.IFS(B17&lt;=30,"Young",B17&lt;=50,"Middle-aged",B17&gt;50,"Older")</f>
        <v>Older</v>
      </c>
      <c r="D17" s="5" t="s">
        <v>10</v>
      </c>
      <c r="E17" s="5" t="s">
        <v>33</v>
      </c>
      <c r="F17" s="5">
        <f t="shared" si="3"/>
        <v>0</v>
      </c>
      <c r="G17" s="5">
        <f t="shared" si="0"/>
        <v>0</v>
      </c>
      <c r="H17" s="5">
        <f t="shared" si="1"/>
        <v>0</v>
      </c>
      <c r="I17" s="5">
        <f t="shared" si="2"/>
        <v>1</v>
      </c>
      <c r="J17" s="5">
        <v>50</v>
      </c>
      <c r="K17" s="5" t="s">
        <v>49</v>
      </c>
      <c r="L17" s="5">
        <v>47</v>
      </c>
      <c r="M17" t="str" cm="1">
        <f t="array" ref="M17">_xlfn.IFS(L17&lt;=14,"Short",L17&lt;=30,"Medium",L17&lt;=45,"Long",L17&lt;=60,"Very Long")</f>
        <v>Very Long</v>
      </c>
      <c r="N17" s="5" t="s">
        <v>30</v>
      </c>
      <c r="O17" s="6">
        <v>9.4</v>
      </c>
    </row>
    <row r="18" spans="1:15" x14ac:dyDescent="0.25">
      <c r="A18" s="1" t="s">
        <v>50</v>
      </c>
      <c r="B18" s="2">
        <v>53</v>
      </c>
      <c r="C18" t="str" cm="1">
        <f t="array" ref="C18">_xlfn.IFS(B18&lt;=30,"Young",B18&lt;=50,"Middle-aged",B18&gt;50,"Older")</f>
        <v>Older</v>
      </c>
      <c r="D18" s="2" t="s">
        <v>10</v>
      </c>
      <c r="E18" s="2" t="s">
        <v>11</v>
      </c>
      <c r="F18" s="2">
        <f t="shared" si="3"/>
        <v>0</v>
      </c>
      <c r="G18" s="2">
        <f t="shared" si="0"/>
        <v>0</v>
      </c>
      <c r="H18" s="2">
        <f t="shared" si="1"/>
        <v>0</v>
      </c>
      <c r="I18" s="2">
        <f t="shared" si="2"/>
        <v>0</v>
      </c>
      <c r="J18" s="2">
        <v>50</v>
      </c>
      <c r="K18" s="2" t="s">
        <v>51</v>
      </c>
      <c r="L18" s="2">
        <v>9</v>
      </c>
      <c r="M18" t="str" cm="1">
        <f t="array" ref="M18">_xlfn.IFS(L18&lt;=14,"Short",L18&lt;=30,"Medium",L18&lt;=45,"Long",L18&lt;=60,"Very Long")</f>
        <v>Short</v>
      </c>
      <c r="N18" s="2" t="s">
        <v>52</v>
      </c>
      <c r="O18" s="3">
        <v>5.0999999999999996</v>
      </c>
    </row>
    <row r="19" spans="1:15" x14ac:dyDescent="0.25">
      <c r="A19" s="4" t="s">
        <v>53</v>
      </c>
      <c r="B19" s="5">
        <v>57</v>
      </c>
      <c r="C19" t="str" cm="1">
        <f t="array" ref="C19">_xlfn.IFS(B19&lt;=30,"Young",B19&lt;=50,"Middle-aged",B19&gt;50,"Older")</f>
        <v>Older</v>
      </c>
      <c r="D19" s="5" t="s">
        <v>19</v>
      </c>
      <c r="E19" s="5" t="s">
        <v>24</v>
      </c>
      <c r="F19" s="5">
        <f t="shared" si="3"/>
        <v>0</v>
      </c>
      <c r="G19" s="5">
        <f t="shared" si="0"/>
        <v>0</v>
      </c>
      <c r="H19" s="5">
        <f t="shared" si="1"/>
        <v>1</v>
      </c>
      <c r="I19" s="5">
        <f t="shared" si="2"/>
        <v>0</v>
      </c>
      <c r="J19" s="5">
        <v>100</v>
      </c>
      <c r="K19" s="5" t="s">
        <v>25</v>
      </c>
      <c r="L19" s="5">
        <v>9</v>
      </c>
      <c r="M19" t="str" cm="1">
        <f t="array" ref="M19">_xlfn.IFS(L19&lt;=14,"Short",L19&lt;=30,"Medium",L19&lt;=45,"Long",L19&lt;=60,"Very Long")</f>
        <v>Short</v>
      </c>
      <c r="N19" s="5" t="s">
        <v>26</v>
      </c>
      <c r="O19" s="6">
        <v>6.1</v>
      </c>
    </row>
    <row r="20" spans="1:15" x14ac:dyDescent="0.25">
      <c r="A20" s="1" t="s">
        <v>54</v>
      </c>
      <c r="B20" s="2">
        <v>41</v>
      </c>
      <c r="C20" t="str" cm="1">
        <f t="array" ref="C20">_xlfn.IFS(B20&lt;=30,"Young",B20&lt;=50,"Middle-aged",B20&gt;50,"Older")</f>
        <v>Middle-aged</v>
      </c>
      <c r="D20" s="2" t="s">
        <v>10</v>
      </c>
      <c r="E20" s="2" t="s">
        <v>20</v>
      </c>
      <c r="F20" s="2">
        <f t="shared" si="3"/>
        <v>0</v>
      </c>
      <c r="G20" s="2">
        <f t="shared" si="0"/>
        <v>1</v>
      </c>
      <c r="H20" s="2">
        <f t="shared" si="1"/>
        <v>0</v>
      </c>
      <c r="I20" s="2">
        <f t="shared" si="2"/>
        <v>0</v>
      </c>
      <c r="J20" s="2">
        <v>500</v>
      </c>
      <c r="K20" s="2" t="s">
        <v>55</v>
      </c>
      <c r="L20" s="2">
        <v>34</v>
      </c>
      <c r="M20" t="str" cm="1">
        <f t="array" ref="M20">_xlfn.IFS(L20&lt;=14,"Short",L20&lt;=30,"Medium",L20&lt;=45,"Long",L20&lt;=60,"Very Long")</f>
        <v>Long</v>
      </c>
      <c r="N20" s="2" t="s">
        <v>22</v>
      </c>
      <c r="O20" s="3">
        <v>7</v>
      </c>
    </row>
    <row r="21" spans="1:15" x14ac:dyDescent="0.25">
      <c r="A21" s="4" t="s">
        <v>56</v>
      </c>
      <c r="B21" s="5">
        <v>20</v>
      </c>
      <c r="C21" t="str" cm="1">
        <f t="array" ref="C21">_xlfn.IFS(B21&lt;=30,"Young",B21&lt;=50,"Middle-aged",B21&gt;50,"Older")</f>
        <v>Young</v>
      </c>
      <c r="D21" s="5" t="s">
        <v>19</v>
      </c>
      <c r="E21" s="5" t="s">
        <v>11</v>
      </c>
      <c r="F21" s="5">
        <f t="shared" si="3"/>
        <v>0</v>
      </c>
      <c r="G21" s="5">
        <f t="shared" si="0"/>
        <v>0</v>
      </c>
      <c r="H21" s="5">
        <f t="shared" si="1"/>
        <v>0</v>
      </c>
      <c r="I21" s="5">
        <f t="shared" si="2"/>
        <v>0</v>
      </c>
      <c r="J21" s="5">
        <v>50</v>
      </c>
      <c r="K21" s="5" t="s">
        <v>51</v>
      </c>
      <c r="L21" s="5">
        <v>58</v>
      </c>
      <c r="M21" t="str" cm="1">
        <f t="array" ref="M21">_xlfn.IFS(L21&lt;=14,"Short",L21&lt;=30,"Medium",L21&lt;=45,"Long",L21&lt;=60,"Very Long")</f>
        <v>Very Long</v>
      </c>
      <c r="N21" s="5" t="s">
        <v>13</v>
      </c>
      <c r="O21" s="6">
        <v>7.4</v>
      </c>
    </row>
    <row r="22" spans="1:15" x14ac:dyDescent="0.25">
      <c r="A22" s="1" t="s">
        <v>57</v>
      </c>
      <c r="B22" s="2">
        <v>39</v>
      </c>
      <c r="C22" t="str" cm="1">
        <f t="array" ref="C22">_xlfn.IFS(B22&lt;=30,"Young",B22&lt;=50,"Middle-aged",B22&gt;50,"Older")</f>
        <v>Middle-aged</v>
      </c>
      <c r="D22" s="2" t="s">
        <v>19</v>
      </c>
      <c r="E22" s="2" t="s">
        <v>20</v>
      </c>
      <c r="F22" s="2">
        <f t="shared" si="3"/>
        <v>0</v>
      </c>
      <c r="G22" s="2">
        <f t="shared" si="0"/>
        <v>1</v>
      </c>
      <c r="H22" s="2">
        <f t="shared" si="1"/>
        <v>0</v>
      </c>
      <c r="I22" s="2">
        <f t="shared" si="2"/>
        <v>0</v>
      </c>
      <c r="J22" s="2">
        <v>100</v>
      </c>
      <c r="K22" s="2" t="s">
        <v>21</v>
      </c>
      <c r="L22" s="2">
        <v>36</v>
      </c>
      <c r="M22" t="str" cm="1">
        <f t="array" ref="M22">_xlfn.IFS(L22&lt;=14,"Short",L22&lt;=30,"Medium",L22&lt;=45,"Long",L22&lt;=60,"Very Long")</f>
        <v>Long</v>
      </c>
      <c r="N22" s="2" t="s">
        <v>28</v>
      </c>
      <c r="O22" s="3">
        <v>5.8</v>
      </c>
    </row>
    <row r="23" spans="1:15" x14ac:dyDescent="0.25">
      <c r="A23" s="4" t="s">
        <v>58</v>
      </c>
      <c r="B23" s="5">
        <v>70</v>
      </c>
      <c r="C23" t="str" cm="1">
        <f t="array" ref="C23">_xlfn.IFS(B23&lt;=30,"Young",B23&lt;=50,"Middle-aged",B23&gt;50,"Older")</f>
        <v>Older</v>
      </c>
      <c r="D23" s="5" t="s">
        <v>10</v>
      </c>
      <c r="E23" s="5" t="s">
        <v>24</v>
      </c>
      <c r="F23" s="5">
        <f t="shared" si="3"/>
        <v>0</v>
      </c>
      <c r="G23" s="5">
        <f t="shared" si="0"/>
        <v>0</v>
      </c>
      <c r="H23" s="5">
        <f t="shared" si="1"/>
        <v>1</v>
      </c>
      <c r="I23" s="5">
        <f t="shared" si="2"/>
        <v>0</v>
      </c>
      <c r="J23" s="5">
        <v>500</v>
      </c>
      <c r="K23" s="5" t="s">
        <v>59</v>
      </c>
      <c r="L23" s="5">
        <v>12</v>
      </c>
      <c r="M23" t="str" cm="1">
        <f t="array" ref="M23">_xlfn.IFS(L23&lt;=14,"Short",L23&lt;=30,"Medium",L23&lt;=45,"Long",L23&lt;=60,"Very Long")</f>
        <v>Short</v>
      </c>
      <c r="N23" s="5" t="s">
        <v>60</v>
      </c>
      <c r="O23" s="6">
        <v>7.6</v>
      </c>
    </row>
    <row r="24" spans="1:15" x14ac:dyDescent="0.25">
      <c r="A24" s="1" t="s">
        <v>61</v>
      </c>
      <c r="B24" s="2">
        <v>19</v>
      </c>
      <c r="C24" t="str" cm="1">
        <f t="array" ref="C24">_xlfn.IFS(B24&lt;=30,"Young",B24&lt;=50,"Middle-aged",B24&gt;50,"Older")</f>
        <v>Young</v>
      </c>
      <c r="D24" s="2" t="s">
        <v>10</v>
      </c>
      <c r="E24" s="2" t="s">
        <v>33</v>
      </c>
      <c r="F24" s="2">
        <f t="shared" si="3"/>
        <v>0</v>
      </c>
      <c r="G24" s="2">
        <f t="shared" si="0"/>
        <v>0</v>
      </c>
      <c r="H24" s="2">
        <f t="shared" si="1"/>
        <v>0</v>
      </c>
      <c r="I24" s="2">
        <f t="shared" si="2"/>
        <v>1</v>
      </c>
      <c r="J24" s="2">
        <v>850</v>
      </c>
      <c r="K24" s="2" t="s">
        <v>34</v>
      </c>
      <c r="L24" s="2">
        <v>14</v>
      </c>
      <c r="M24" t="str" cm="1">
        <f t="array" ref="M24">_xlfn.IFS(L24&lt;=14,"Short",L24&lt;=30,"Medium",L24&lt;=45,"Long",L24&lt;=60,"Very Long")</f>
        <v>Short</v>
      </c>
      <c r="N24" s="2" t="s">
        <v>35</v>
      </c>
      <c r="O24" s="3">
        <v>6.3</v>
      </c>
    </row>
    <row r="25" spans="1:15" x14ac:dyDescent="0.25">
      <c r="A25" s="4" t="s">
        <v>62</v>
      </c>
      <c r="B25" s="5">
        <v>41</v>
      </c>
      <c r="C25" t="str" cm="1">
        <f t="array" ref="C25">_xlfn.IFS(B25&lt;=30,"Young",B25&lt;=50,"Middle-aged",B25&gt;50,"Older")</f>
        <v>Middle-aged</v>
      </c>
      <c r="D25" s="5" t="s">
        <v>10</v>
      </c>
      <c r="E25" s="5" t="s">
        <v>15</v>
      </c>
      <c r="F25" s="5">
        <f t="shared" si="3"/>
        <v>1</v>
      </c>
      <c r="G25" s="5">
        <f t="shared" si="0"/>
        <v>0</v>
      </c>
      <c r="H25" s="5">
        <f t="shared" si="1"/>
        <v>0</v>
      </c>
      <c r="I25" s="5">
        <f t="shared" si="2"/>
        <v>0</v>
      </c>
      <c r="J25" s="5">
        <v>100</v>
      </c>
      <c r="K25" s="5" t="s">
        <v>63</v>
      </c>
      <c r="L25" s="5">
        <v>42</v>
      </c>
      <c r="M25" t="str" cm="1">
        <f t="array" ref="M25">_xlfn.IFS(L25&lt;=14,"Short",L25&lt;=30,"Medium",L25&lt;=45,"Long",L25&lt;=60,"Very Long")</f>
        <v>Long</v>
      </c>
      <c r="N25" s="5" t="s">
        <v>64</v>
      </c>
      <c r="O25" s="6">
        <v>7</v>
      </c>
    </row>
    <row r="26" spans="1:15" x14ac:dyDescent="0.25">
      <c r="A26" s="1" t="s">
        <v>65</v>
      </c>
      <c r="B26" s="2">
        <v>61</v>
      </c>
      <c r="C26" t="str" cm="1">
        <f t="array" ref="C26">_xlfn.IFS(B26&lt;=30,"Young",B26&lt;=50,"Middle-aged",B26&gt;50,"Older")</f>
        <v>Older</v>
      </c>
      <c r="D26" s="2" t="s">
        <v>10</v>
      </c>
      <c r="E26" s="2" t="s">
        <v>33</v>
      </c>
      <c r="F26" s="2">
        <f t="shared" si="3"/>
        <v>0</v>
      </c>
      <c r="G26" s="2">
        <f t="shared" si="0"/>
        <v>0</v>
      </c>
      <c r="H26" s="2">
        <f t="shared" si="1"/>
        <v>0</v>
      </c>
      <c r="I26" s="2">
        <f t="shared" si="2"/>
        <v>1</v>
      </c>
      <c r="J26" s="2">
        <v>850</v>
      </c>
      <c r="K26" s="2" t="s">
        <v>49</v>
      </c>
      <c r="L26" s="2">
        <v>51</v>
      </c>
      <c r="M26" t="str" cm="1">
        <f t="array" ref="M26">_xlfn.IFS(L26&lt;=14,"Short",L26&lt;=30,"Medium",L26&lt;=45,"Long",L26&lt;=60,"Very Long")</f>
        <v>Very Long</v>
      </c>
      <c r="N26" s="2" t="s">
        <v>13</v>
      </c>
      <c r="O26" s="3">
        <v>7.8</v>
      </c>
    </row>
    <row r="27" spans="1:15" x14ac:dyDescent="0.25">
      <c r="A27" s="4" t="s">
        <v>66</v>
      </c>
      <c r="B27" s="5">
        <v>47</v>
      </c>
      <c r="C27" t="str" cm="1">
        <f t="array" ref="C27">_xlfn.IFS(B27&lt;=30,"Young",B27&lt;=50,"Middle-aged",B27&gt;50,"Older")</f>
        <v>Middle-aged</v>
      </c>
      <c r="D27" s="5" t="s">
        <v>19</v>
      </c>
      <c r="E27" s="5" t="s">
        <v>11</v>
      </c>
      <c r="F27" s="5">
        <f t="shared" si="3"/>
        <v>0</v>
      </c>
      <c r="G27" s="5">
        <f t="shared" si="0"/>
        <v>0</v>
      </c>
      <c r="H27" s="5">
        <f t="shared" si="1"/>
        <v>0</v>
      </c>
      <c r="I27" s="5">
        <f t="shared" si="2"/>
        <v>0</v>
      </c>
      <c r="J27" s="5">
        <v>500</v>
      </c>
      <c r="K27" s="5" t="s">
        <v>12</v>
      </c>
      <c r="L27" s="5">
        <v>36</v>
      </c>
      <c r="M27" t="str" cm="1">
        <f t="array" ref="M27">_xlfn.IFS(L27&lt;=14,"Short",L27&lt;=30,"Medium",L27&lt;=45,"Long",L27&lt;=60,"Very Long")</f>
        <v>Long</v>
      </c>
      <c r="N27" s="5" t="s">
        <v>30</v>
      </c>
      <c r="O27" s="6">
        <v>7</v>
      </c>
    </row>
    <row r="28" spans="1:15" x14ac:dyDescent="0.25">
      <c r="A28" s="1" t="s">
        <v>67</v>
      </c>
      <c r="B28" s="2">
        <v>55</v>
      </c>
      <c r="C28" t="str" cm="1">
        <f t="array" ref="C28">_xlfn.IFS(B28&lt;=30,"Young",B28&lt;=50,"Middle-aged",B28&gt;50,"Older")</f>
        <v>Older</v>
      </c>
      <c r="D28" s="2" t="s">
        <v>10</v>
      </c>
      <c r="E28" s="2" t="s">
        <v>15</v>
      </c>
      <c r="F28" s="2">
        <f t="shared" si="3"/>
        <v>1</v>
      </c>
      <c r="G28" s="2">
        <f t="shared" si="0"/>
        <v>0</v>
      </c>
      <c r="H28" s="2">
        <f t="shared" si="1"/>
        <v>0</v>
      </c>
      <c r="I28" s="2">
        <f t="shared" si="2"/>
        <v>0</v>
      </c>
      <c r="J28" s="2">
        <v>500</v>
      </c>
      <c r="K28" s="2" t="s">
        <v>16</v>
      </c>
      <c r="L28" s="2">
        <v>52</v>
      </c>
      <c r="M28" t="str" cm="1">
        <f t="array" ref="M28">_xlfn.IFS(L28&lt;=14,"Short",L28&lt;=30,"Medium",L28&lt;=45,"Long",L28&lt;=60,"Very Long")</f>
        <v>Very Long</v>
      </c>
      <c r="N28" s="2" t="s">
        <v>17</v>
      </c>
      <c r="O28" s="3">
        <v>6.3</v>
      </c>
    </row>
    <row r="29" spans="1:15" x14ac:dyDescent="0.25">
      <c r="A29" s="4" t="s">
        <v>68</v>
      </c>
      <c r="B29" s="5">
        <v>19</v>
      </c>
      <c r="C29" t="str" cm="1">
        <f t="array" ref="C29">_xlfn.IFS(B29&lt;=30,"Young",B29&lt;=50,"Middle-aged",B29&gt;50,"Older")</f>
        <v>Young</v>
      </c>
      <c r="D29" s="5" t="s">
        <v>10</v>
      </c>
      <c r="E29" s="5" t="s">
        <v>11</v>
      </c>
      <c r="F29" s="5">
        <f t="shared" si="3"/>
        <v>0</v>
      </c>
      <c r="G29" s="5">
        <f t="shared" si="0"/>
        <v>0</v>
      </c>
      <c r="H29" s="5">
        <f t="shared" si="1"/>
        <v>0</v>
      </c>
      <c r="I29" s="5">
        <f t="shared" si="2"/>
        <v>0</v>
      </c>
      <c r="J29" s="5">
        <v>100</v>
      </c>
      <c r="K29" s="5" t="s">
        <v>12</v>
      </c>
      <c r="L29" s="5">
        <v>32</v>
      </c>
      <c r="M29" t="str" cm="1">
        <f t="array" ref="M29">_xlfn.IFS(L29&lt;=14,"Short",L29&lt;=30,"Medium",L29&lt;=45,"Long",L29&lt;=60,"Very Long")</f>
        <v>Long</v>
      </c>
      <c r="N29" s="5" t="s">
        <v>13</v>
      </c>
      <c r="O29" s="6">
        <v>6.8</v>
      </c>
    </row>
    <row r="30" spans="1:15" x14ac:dyDescent="0.25">
      <c r="A30" s="1" t="s">
        <v>69</v>
      </c>
      <c r="B30" s="2">
        <v>77</v>
      </c>
      <c r="C30" t="str" cm="1">
        <f t="array" ref="C30">_xlfn.IFS(B30&lt;=30,"Young",B30&lt;=50,"Middle-aged",B30&gt;50,"Older")</f>
        <v>Older</v>
      </c>
      <c r="D30" s="2" t="s">
        <v>10</v>
      </c>
      <c r="E30" s="2" t="s">
        <v>24</v>
      </c>
      <c r="F30" s="2">
        <f t="shared" si="3"/>
        <v>0</v>
      </c>
      <c r="G30" s="2">
        <f t="shared" si="0"/>
        <v>0</v>
      </c>
      <c r="H30" s="2">
        <f t="shared" si="1"/>
        <v>1</v>
      </c>
      <c r="I30" s="2">
        <f t="shared" si="2"/>
        <v>0</v>
      </c>
      <c r="J30" s="2">
        <v>50</v>
      </c>
      <c r="K30" s="2" t="s">
        <v>25</v>
      </c>
      <c r="L30" s="2">
        <v>21</v>
      </c>
      <c r="M30" t="str" cm="1">
        <f t="array" ref="M30">_xlfn.IFS(L30&lt;=14,"Short",L30&lt;=30,"Medium",L30&lt;=45,"Long",L30&lt;=60,"Very Long")</f>
        <v>Medium</v>
      </c>
      <c r="N30" s="2" t="s">
        <v>70</v>
      </c>
      <c r="O30" s="3">
        <v>6.9</v>
      </c>
    </row>
    <row r="31" spans="1:15" x14ac:dyDescent="0.25">
      <c r="A31" s="4" t="s">
        <v>71</v>
      </c>
      <c r="B31" s="5">
        <v>38</v>
      </c>
      <c r="C31" t="str" cm="1">
        <f t="array" ref="C31">_xlfn.IFS(B31&lt;=30,"Young",B31&lt;=50,"Middle-aged",B31&gt;50,"Older")</f>
        <v>Middle-aged</v>
      </c>
      <c r="D31" s="5" t="s">
        <v>10</v>
      </c>
      <c r="E31" s="5" t="s">
        <v>15</v>
      </c>
      <c r="F31" s="5">
        <f t="shared" si="3"/>
        <v>1</v>
      </c>
      <c r="G31" s="5">
        <f t="shared" si="0"/>
        <v>0</v>
      </c>
      <c r="H31" s="5">
        <f t="shared" si="1"/>
        <v>0</v>
      </c>
      <c r="I31" s="5">
        <f t="shared" si="2"/>
        <v>0</v>
      </c>
      <c r="J31" s="5">
        <v>100</v>
      </c>
      <c r="K31" s="5" t="s">
        <v>16</v>
      </c>
      <c r="L31" s="5">
        <v>35</v>
      </c>
      <c r="M31" t="str" cm="1">
        <f t="array" ref="M31">_xlfn.IFS(L31&lt;=14,"Short",L31&lt;=30,"Medium",L31&lt;=45,"Long",L31&lt;=60,"Very Long")</f>
        <v>Long</v>
      </c>
      <c r="N31" s="5" t="s">
        <v>17</v>
      </c>
      <c r="O31" s="6">
        <v>6.4</v>
      </c>
    </row>
    <row r="32" spans="1:15" x14ac:dyDescent="0.25">
      <c r="A32" s="1" t="s">
        <v>72</v>
      </c>
      <c r="B32" s="2">
        <v>50</v>
      </c>
      <c r="C32" t="str" cm="1">
        <f t="array" ref="C32">_xlfn.IFS(B32&lt;=30,"Young",B32&lt;=50,"Middle-aged",B32&gt;50,"Older")</f>
        <v>Middle-aged</v>
      </c>
      <c r="D32" s="2" t="s">
        <v>10</v>
      </c>
      <c r="E32" s="2" t="s">
        <v>11</v>
      </c>
      <c r="F32" s="2">
        <f t="shared" si="3"/>
        <v>0</v>
      </c>
      <c r="G32" s="2">
        <f t="shared" si="0"/>
        <v>0</v>
      </c>
      <c r="H32" s="2">
        <f t="shared" si="1"/>
        <v>0</v>
      </c>
      <c r="I32" s="2">
        <f t="shared" si="2"/>
        <v>0</v>
      </c>
      <c r="J32" s="2">
        <v>100</v>
      </c>
      <c r="K32" s="2" t="s">
        <v>12</v>
      </c>
      <c r="L32" s="2">
        <v>12</v>
      </c>
      <c r="M32" t="str" cm="1">
        <f t="array" ref="M32">_xlfn.IFS(L32&lt;=14,"Short",L32&lt;=30,"Medium",L32&lt;=45,"Long",L32&lt;=60,"Very Long")</f>
        <v>Short</v>
      </c>
      <c r="N32" s="2" t="s">
        <v>30</v>
      </c>
      <c r="O32" s="3">
        <v>6.6</v>
      </c>
    </row>
    <row r="33" spans="1:15" x14ac:dyDescent="0.25">
      <c r="A33" s="4" t="s">
        <v>73</v>
      </c>
      <c r="B33" s="5">
        <v>29</v>
      </c>
      <c r="C33" t="str" cm="1">
        <f t="array" ref="C33">_xlfn.IFS(B33&lt;=30,"Young",B33&lt;=50,"Middle-aged",B33&gt;50,"Older")</f>
        <v>Young</v>
      </c>
      <c r="D33" s="5" t="s">
        <v>10</v>
      </c>
      <c r="E33" s="5" t="s">
        <v>24</v>
      </c>
      <c r="F33" s="5">
        <f t="shared" si="3"/>
        <v>0</v>
      </c>
      <c r="G33" s="5">
        <f t="shared" si="0"/>
        <v>0</v>
      </c>
      <c r="H33" s="5">
        <f t="shared" si="1"/>
        <v>1</v>
      </c>
      <c r="I33" s="5">
        <f t="shared" si="2"/>
        <v>0</v>
      </c>
      <c r="J33" s="5">
        <v>850</v>
      </c>
      <c r="K33" s="5" t="s">
        <v>59</v>
      </c>
      <c r="L33" s="5">
        <v>44</v>
      </c>
      <c r="M33" t="str" cm="1">
        <f t="array" ref="M33">_xlfn.IFS(L33&lt;=14,"Short",L33&lt;=30,"Medium",L33&lt;=45,"Long",L33&lt;=60,"Very Long")</f>
        <v>Long</v>
      </c>
      <c r="N33" s="5" t="s">
        <v>74</v>
      </c>
      <c r="O33" s="6">
        <v>9.4</v>
      </c>
    </row>
    <row r="34" spans="1:15" x14ac:dyDescent="0.25">
      <c r="A34" s="1" t="s">
        <v>75</v>
      </c>
      <c r="B34" s="2">
        <v>75</v>
      </c>
      <c r="C34" t="str" cm="1">
        <f t="array" ref="C34">_xlfn.IFS(B34&lt;=30,"Young",B34&lt;=50,"Middle-aged",B34&gt;50,"Older")</f>
        <v>Older</v>
      </c>
      <c r="D34" s="2" t="s">
        <v>19</v>
      </c>
      <c r="E34" s="2" t="s">
        <v>33</v>
      </c>
      <c r="F34" s="2">
        <f t="shared" si="3"/>
        <v>0</v>
      </c>
      <c r="G34" s="2">
        <f t="shared" si="0"/>
        <v>0</v>
      </c>
      <c r="H34" s="2">
        <f t="shared" si="1"/>
        <v>0</v>
      </c>
      <c r="I34" s="2">
        <f t="shared" si="2"/>
        <v>1</v>
      </c>
      <c r="J34" s="2">
        <v>500</v>
      </c>
      <c r="K34" s="2" t="s">
        <v>34</v>
      </c>
      <c r="L34" s="2">
        <v>29</v>
      </c>
      <c r="M34" t="str" cm="1">
        <f t="array" ref="M34">_xlfn.IFS(L34&lt;=14,"Short",L34&lt;=30,"Medium",L34&lt;=45,"Long",L34&lt;=60,"Very Long")</f>
        <v>Medium</v>
      </c>
      <c r="N34" s="2" t="s">
        <v>35</v>
      </c>
      <c r="O34" s="3">
        <v>7.8</v>
      </c>
    </row>
    <row r="35" spans="1:15" x14ac:dyDescent="0.25">
      <c r="A35" s="4" t="s">
        <v>76</v>
      </c>
      <c r="B35" s="5">
        <v>39</v>
      </c>
      <c r="C35" t="str" cm="1">
        <f t="array" ref="C35">_xlfn.IFS(B35&lt;=30,"Young",B35&lt;=50,"Middle-aged",B35&gt;50,"Older")</f>
        <v>Middle-aged</v>
      </c>
      <c r="D35" s="5" t="s">
        <v>19</v>
      </c>
      <c r="E35" s="5" t="s">
        <v>24</v>
      </c>
      <c r="F35" s="5">
        <f t="shared" si="3"/>
        <v>0</v>
      </c>
      <c r="G35" s="5">
        <f t="shared" si="0"/>
        <v>0</v>
      </c>
      <c r="H35" s="5">
        <f t="shared" si="1"/>
        <v>1</v>
      </c>
      <c r="I35" s="5">
        <f t="shared" si="2"/>
        <v>0</v>
      </c>
      <c r="J35" s="5">
        <v>100</v>
      </c>
      <c r="K35" s="5" t="s">
        <v>25</v>
      </c>
      <c r="L35" s="5">
        <v>13</v>
      </c>
      <c r="M35" t="str" cm="1">
        <f t="array" ref="M35">_xlfn.IFS(L35&lt;=14,"Short",L35&lt;=30,"Medium",L35&lt;=45,"Long",L35&lt;=60,"Very Long")</f>
        <v>Short</v>
      </c>
      <c r="N35" s="5" t="s">
        <v>26</v>
      </c>
      <c r="O35" s="6">
        <v>6.6</v>
      </c>
    </row>
    <row r="36" spans="1:15" x14ac:dyDescent="0.25">
      <c r="A36" s="1" t="s">
        <v>77</v>
      </c>
      <c r="B36" s="2">
        <v>78</v>
      </c>
      <c r="C36" t="str" cm="1">
        <f t="array" ref="C36">_xlfn.IFS(B36&lt;=30,"Young",B36&lt;=50,"Middle-aged",B36&gt;50,"Older")</f>
        <v>Older</v>
      </c>
      <c r="D36" s="2" t="s">
        <v>10</v>
      </c>
      <c r="E36" s="2" t="s">
        <v>20</v>
      </c>
      <c r="F36" s="2">
        <f t="shared" si="3"/>
        <v>0</v>
      </c>
      <c r="G36" s="2">
        <f t="shared" si="0"/>
        <v>1</v>
      </c>
      <c r="H36" s="2">
        <f t="shared" si="1"/>
        <v>0</v>
      </c>
      <c r="I36" s="2">
        <f t="shared" si="2"/>
        <v>0</v>
      </c>
      <c r="J36" s="2">
        <v>250</v>
      </c>
      <c r="K36" s="2" t="s">
        <v>55</v>
      </c>
      <c r="L36" s="2">
        <v>6</v>
      </c>
      <c r="M36" t="str" cm="1">
        <f t="array" ref="M36">_xlfn.IFS(L36&lt;=14,"Short",L36&lt;=30,"Medium",L36&lt;=45,"Long",L36&lt;=60,"Very Long")</f>
        <v>Short</v>
      </c>
      <c r="N36" s="2" t="s">
        <v>78</v>
      </c>
      <c r="O36" s="3">
        <v>8</v>
      </c>
    </row>
    <row r="37" spans="1:15" x14ac:dyDescent="0.25">
      <c r="A37" s="4" t="s">
        <v>79</v>
      </c>
      <c r="B37" s="5">
        <v>61</v>
      </c>
      <c r="C37" t="str" cm="1">
        <f t="array" ref="C37">_xlfn.IFS(B37&lt;=30,"Young",B37&lt;=50,"Middle-aged",B37&gt;50,"Older")</f>
        <v>Older</v>
      </c>
      <c r="D37" s="5" t="s">
        <v>10</v>
      </c>
      <c r="E37" s="5" t="s">
        <v>24</v>
      </c>
      <c r="F37" s="5">
        <f t="shared" si="3"/>
        <v>0</v>
      </c>
      <c r="G37" s="5">
        <f t="shared" si="0"/>
        <v>0</v>
      </c>
      <c r="H37" s="5">
        <f t="shared" si="1"/>
        <v>1</v>
      </c>
      <c r="I37" s="5">
        <f t="shared" si="2"/>
        <v>0</v>
      </c>
      <c r="J37" s="5">
        <v>500</v>
      </c>
      <c r="K37" s="5" t="s">
        <v>25</v>
      </c>
      <c r="L37" s="5">
        <v>19</v>
      </c>
      <c r="M37" t="str" cm="1">
        <f t="array" ref="M37">_xlfn.IFS(L37&lt;=14,"Short",L37&lt;=30,"Medium",L37&lt;=45,"Long",L37&lt;=60,"Very Long")</f>
        <v>Medium</v>
      </c>
      <c r="N37" s="5" t="s">
        <v>26</v>
      </c>
      <c r="O37" s="6">
        <v>6.5</v>
      </c>
    </row>
    <row r="38" spans="1:15" x14ac:dyDescent="0.25">
      <c r="A38" s="1" t="s">
        <v>80</v>
      </c>
      <c r="B38" s="2">
        <v>42</v>
      </c>
      <c r="C38" t="str" cm="1">
        <f t="array" ref="C38">_xlfn.IFS(B38&lt;=30,"Young",B38&lt;=50,"Middle-aged",B38&gt;50,"Older")</f>
        <v>Middle-aged</v>
      </c>
      <c r="D38" s="2" t="s">
        <v>10</v>
      </c>
      <c r="E38" s="2" t="s">
        <v>24</v>
      </c>
      <c r="F38" s="2">
        <f t="shared" si="3"/>
        <v>0</v>
      </c>
      <c r="G38" s="2">
        <f t="shared" si="0"/>
        <v>0</v>
      </c>
      <c r="H38" s="2">
        <f t="shared" si="1"/>
        <v>1</v>
      </c>
      <c r="I38" s="2">
        <f t="shared" si="2"/>
        <v>0</v>
      </c>
      <c r="J38" s="2">
        <v>50</v>
      </c>
      <c r="K38" s="2" t="s">
        <v>25</v>
      </c>
      <c r="L38" s="2">
        <v>54</v>
      </c>
      <c r="M38" t="str" cm="1">
        <f t="array" ref="M38">_xlfn.IFS(L38&lt;=14,"Short",L38&lt;=30,"Medium",L38&lt;=45,"Long",L38&lt;=60,"Very Long")</f>
        <v>Very Long</v>
      </c>
      <c r="N38" s="2" t="s">
        <v>26</v>
      </c>
      <c r="O38" s="3">
        <v>8.8000000000000007</v>
      </c>
    </row>
    <row r="39" spans="1:15" x14ac:dyDescent="0.25">
      <c r="A39" s="4" t="s">
        <v>81</v>
      </c>
      <c r="B39" s="5">
        <v>66</v>
      </c>
      <c r="C39" t="str" cm="1">
        <f t="array" ref="C39">_xlfn.IFS(B39&lt;=30,"Young",B39&lt;=50,"Middle-aged",B39&gt;50,"Older")</f>
        <v>Older</v>
      </c>
      <c r="D39" s="5" t="s">
        <v>19</v>
      </c>
      <c r="E39" s="5" t="s">
        <v>20</v>
      </c>
      <c r="F39" s="5">
        <f t="shared" si="3"/>
        <v>0</v>
      </c>
      <c r="G39" s="5">
        <f t="shared" si="0"/>
        <v>1</v>
      </c>
      <c r="H39" s="5">
        <f t="shared" si="1"/>
        <v>0</v>
      </c>
      <c r="I39" s="5">
        <f t="shared" si="2"/>
        <v>0</v>
      </c>
      <c r="J39" s="5">
        <v>100</v>
      </c>
      <c r="K39" s="5" t="s">
        <v>21</v>
      </c>
      <c r="L39" s="5">
        <v>7</v>
      </c>
      <c r="M39" t="str" cm="1">
        <f t="array" ref="M39">_xlfn.IFS(L39&lt;=14,"Short",L39&lt;=30,"Medium",L39&lt;=45,"Long",L39&lt;=60,"Very Long")</f>
        <v>Short</v>
      </c>
      <c r="N39" s="5" t="s">
        <v>41</v>
      </c>
      <c r="O39" s="6">
        <v>7.6</v>
      </c>
    </row>
    <row r="40" spans="1:15" x14ac:dyDescent="0.25">
      <c r="A40" s="1" t="s">
        <v>82</v>
      </c>
      <c r="B40" s="2">
        <v>44</v>
      </c>
      <c r="C40" t="str" cm="1">
        <f t="array" ref="C40">_xlfn.IFS(B40&lt;=30,"Young",B40&lt;=50,"Middle-aged",B40&gt;50,"Older")</f>
        <v>Middle-aged</v>
      </c>
      <c r="D40" s="2" t="s">
        <v>10</v>
      </c>
      <c r="E40" s="2" t="s">
        <v>11</v>
      </c>
      <c r="F40" s="2">
        <f t="shared" si="3"/>
        <v>0</v>
      </c>
      <c r="G40" s="2">
        <f t="shared" si="0"/>
        <v>0</v>
      </c>
      <c r="H40" s="2">
        <f t="shared" si="1"/>
        <v>0</v>
      </c>
      <c r="I40" s="2">
        <f t="shared" si="2"/>
        <v>0</v>
      </c>
      <c r="J40" s="2">
        <v>500</v>
      </c>
      <c r="K40" s="2" t="s">
        <v>12</v>
      </c>
      <c r="L40" s="2">
        <v>53</v>
      </c>
      <c r="M40" t="str" cm="1">
        <f t="array" ref="M40">_xlfn.IFS(L40&lt;=14,"Short",L40&lt;=30,"Medium",L40&lt;=45,"Long",L40&lt;=60,"Very Long")</f>
        <v>Very Long</v>
      </c>
      <c r="N40" s="2" t="s">
        <v>13</v>
      </c>
      <c r="O40" s="3">
        <v>6.8</v>
      </c>
    </row>
    <row r="41" spans="1:15" x14ac:dyDescent="0.25">
      <c r="A41" s="4" t="s">
        <v>83</v>
      </c>
      <c r="B41" s="5">
        <v>76</v>
      </c>
      <c r="C41" t="str" cm="1">
        <f t="array" ref="C41">_xlfn.IFS(B41&lt;=30,"Young",B41&lt;=50,"Middle-aged",B41&gt;50,"Older")</f>
        <v>Older</v>
      </c>
      <c r="D41" s="5" t="s">
        <v>19</v>
      </c>
      <c r="E41" s="5" t="s">
        <v>11</v>
      </c>
      <c r="F41" s="5">
        <f t="shared" si="3"/>
        <v>0</v>
      </c>
      <c r="G41" s="5">
        <f t="shared" si="0"/>
        <v>0</v>
      </c>
      <c r="H41" s="5">
        <f t="shared" si="1"/>
        <v>0</v>
      </c>
      <c r="I41" s="5">
        <f t="shared" si="2"/>
        <v>0</v>
      </c>
      <c r="J41" s="5">
        <v>250</v>
      </c>
      <c r="K41" s="5" t="s">
        <v>84</v>
      </c>
      <c r="L41" s="5">
        <v>40</v>
      </c>
      <c r="M41" t="str" cm="1">
        <f t="array" ref="M41">_xlfn.IFS(L41&lt;=14,"Short",L41&lt;=30,"Medium",L41&lt;=45,"Long",L41&lt;=60,"Very Long")</f>
        <v>Long</v>
      </c>
      <c r="N41" s="5" t="s">
        <v>85</v>
      </c>
      <c r="O41" s="6">
        <v>7.7</v>
      </c>
    </row>
    <row r="42" spans="1:15" x14ac:dyDescent="0.25">
      <c r="A42" s="1" t="s">
        <v>86</v>
      </c>
      <c r="B42" s="2">
        <v>59</v>
      </c>
      <c r="C42" t="str" cm="1">
        <f t="array" ref="C42">_xlfn.IFS(B42&lt;=30,"Young",B42&lt;=50,"Middle-aged",B42&gt;50,"Older")</f>
        <v>Older</v>
      </c>
      <c r="D42" s="2" t="s">
        <v>10</v>
      </c>
      <c r="E42" s="2" t="s">
        <v>24</v>
      </c>
      <c r="F42" s="2">
        <f t="shared" si="3"/>
        <v>0</v>
      </c>
      <c r="G42" s="2">
        <f t="shared" si="0"/>
        <v>0</v>
      </c>
      <c r="H42" s="2">
        <f t="shared" si="1"/>
        <v>1</v>
      </c>
      <c r="I42" s="2">
        <f t="shared" si="2"/>
        <v>0</v>
      </c>
      <c r="J42" s="2">
        <v>850</v>
      </c>
      <c r="K42" s="2" t="s">
        <v>59</v>
      </c>
      <c r="L42" s="2">
        <v>8</v>
      </c>
      <c r="M42" t="str" cm="1">
        <f t="array" ref="M42">_xlfn.IFS(L42&lt;=14,"Short",L42&lt;=30,"Medium",L42&lt;=45,"Long",L42&lt;=60,"Very Long")</f>
        <v>Short</v>
      </c>
      <c r="N42" s="2" t="s">
        <v>74</v>
      </c>
      <c r="O42" s="3">
        <v>4.5999999999999996</v>
      </c>
    </row>
    <row r="43" spans="1:15" x14ac:dyDescent="0.25">
      <c r="A43" s="4" t="s">
        <v>87</v>
      </c>
      <c r="B43" s="5">
        <v>45</v>
      </c>
      <c r="C43" t="str" cm="1">
        <f t="array" ref="C43">_xlfn.IFS(B43&lt;=30,"Young",B43&lt;=50,"Middle-aged",B43&gt;50,"Older")</f>
        <v>Middle-aged</v>
      </c>
      <c r="D43" s="5" t="s">
        <v>10</v>
      </c>
      <c r="E43" s="5" t="s">
        <v>20</v>
      </c>
      <c r="F43" s="5">
        <f t="shared" si="3"/>
        <v>0</v>
      </c>
      <c r="G43" s="5">
        <f t="shared" si="0"/>
        <v>1</v>
      </c>
      <c r="H43" s="5">
        <f t="shared" si="1"/>
        <v>0</v>
      </c>
      <c r="I43" s="5">
        <f t="shared" si="2"/>
        <v>0</v>
      </c>
      <c r="J43" s="5">
        <v>500</v>
      </c>
      <c r="K43" s="5" t="s">
        <v>37</v>
      </c>
      <c r="L43" s="5">
        <v>18</v>
      </c>
      <c r="M43" t="str" cm="1">
        <f t="array" ref="M43">_xlfn.IFS(L43&lt;=14,"Short",L43&lt;=30,"Medium",L43&lt;=45,"Long",L43&lt;=60,"Very Long")</f>
        <v>Medium</v>
      </c>
      <c r="N43" s="5" t="s">
        <v>88</v>
      </c>
      <c r="O43" s="6">
        <v>5.3</v>
      </c>
    </row>
    <row r="44" spans="1:15" x14ac:dyDescent="0.25">
      <c r="A44" s="1" t="s">
        <v>89</v>
      </c>
      <c r="B44" s="2">
        <v>77</v>
      </c>
      <c r="C44" t="str" cm="1">
        <f t="array" ref="C44">_xlfn.IFS(B44&lt;=30,"Young",B44&lt;=50,"Middle-aged",B44&gt;50,"Older")</f>
        <v>Older</v>
      </c>
      <c r="D44" s="2" t="s">
        <v>10</v>
      </c>
      <c r="E44" s="2" t="s">
        <v>20</v>
      </c>
      <c r="F44" s="2">
        <f t="shared" si="3"/>
        <v>0</v>
      </c>
      <c r="G44" s="2">
        <f t="shared" si="0"/>
        <v>1</v>
      </c>
      <c r="H44" s="2">
        <f t="shared" si="1"/>
        <v>0</v>
      </c>
      <c r="I44" s="2">
        <f t="shared" si="2"/>
        <v>0</v>
      </c>
      <c r="J44" s="2">
        <v>850</v>
      </c>
      <c r="K44" s="2" t="s">
        <v>55</v>
      </c>
      <c r="L44" s="2">
        <v>45</v>
      </c>
      <c r="M44" t="str" cm="1">
        <f t="array" ref="M44">_xlfn.IFS(L44&lt;=14,"Short",L44&lt;=30,"Medium",L44&lt;=45,"Long",L44&lt;=60,"Very Long")</f>
        <v>Long</v>
      </c>
      <c r="N44" s="2" t="s">
        <v>78</v>
      </c>
      <c r="O44" s="3">
        <v>5.2</v>
      </c>
    </row>
    <row r="45" spans="1:15" x14ac:dyDescent="0.25">
      <c r="A45" s="4" t="s">
        <v>90</v>
      </c>
      <c r="B45" s="5">
        <v>33</v>
      </c>
      <c r="C45" t="str" cm="1">
        <f t="array" ref="C45">_xlfn.IFS(B45&lt;=30,"Young",B45&lt;=50,"Middle-aged",B45&gt;50,"Older")</f>
        <v>Middle-aged</v>
      </c>
      <c r="D45" s="5" t="s">
        <v>10</v>
      </c>
      <c r="E45" s="5" t="s">
        <v>33</v>
      </c>
      <c r="F45" s="5">
        <f t="shared" si="3"/>
        <v>0</v>
      </c>
      <c r="G45" s="5">
        <f t="shared" si="0"/>
        <v>0</v>
      </c>
      <c r="H45" s="5">
        <f t="shared" si="1"/>
        <v>0</v>
      </c>
      <c r="I45" s="5">
        <f t="shared" si="2"/>
        <v>1</v>
      </c>
      <c r="J45" s="5">
        <v>250</v>
      </c>
      <c r="K45" s="5" t="s">
        <v>49</v>
      </c>
      <c r="L45" s="5">
        <v>45</v>
      </c>
      <c r="M45" t="str" cm="1">
        <f t="array" ref="M45">_xlfn.IFS(L45&lt;=14,"Short",L45&lt;=30,"Medium",L45&lt;=45,"Long",L45&lt;=60,"Very Long")</f>
        <v>Long</v>
      </c>
      <c r="N45" s="5" t="s">
        <v>91</v>
      </c>
      <c r="O45" s="6">
        <v>7.2</v>
      </c>
    </row>
    <row r="46" spans="1:15" x14ac:dyDescent="0.25">
      <c r="A46" s="1" t="s">
        <v>92</v>
      </c>
      <c r="B46" s="2">
        <v>32</v>
      </c>
      <c r="C46" t="str" cm="1">
        <f t="array" ref="C46">_xlfn.IFS(B46&lt;=30,"Young",B46&lt;=50,"Middle-aged",B46&gt;50,"Older")</f>
        <v>Middle-aged</v>
      </c>
      <c r="D46" s="2" t="s">
        <v>19</v>
      </c>
      <c r="E46" s="2" t="s">
        <v>11</v>
      </c>
      <c r="F46" s="2">
        <f t="shared" si="3"/>
        <v>0</v>
      </c>
      <c r="G46" s="2">
        <f t="shared" si="0"/>
        <v>0</v>
      </c>
      <c r="H46" s="2">
        <f t="shared" si="1"/>
        <v>0</v>
      </c>
      <c r="I46" s="2">
        <f t="shared" si="2"/>
        <v>0</v>
      </c>
      <c r="J46" s="2">
        <v>850</v>
      </c>
      <c r="K46" s="2" t="s">
        <v>84</v>
      </c>
      <c r="L46" s="2">
        <v>29</v>
      </c>
      <c r="M46" t="str" cm="1">
        <f t="array" ref="M46">_xlfn.IFS(L46&lt;=14,"Short",L46&lt;=30,"Medium",L46&lt;=45,"Long",L46&lt;=60,"Very Long")</f>
        <v>Medium</v>
      </c>
      <c r="N46" s="2" t="s">
        <v>93</v>
      </c>
      <c r="O46" s="3">
        <v>9.6</v>
      </c>
    </row>
    <row r="47" spans="1:15" x14ac:dyDescent="0.25">
      <c r="A47" s="4" t="s">
        <v>94</v>
      </c>
      <c r="B47" s="5">
        <v>79</v>
      </c>
      <c r="C47" t="str" cm="1">
        <f t="array" ref="C47">_xlfn.IFS(B47&lt;=30,"Young",B47&lt;=50,"Middle-aged",B47&gt;50,"Older")</f>
        <v>Older</v>
      </c>
      <c r="D47" s="5" t="s">
        <v>19</v>
      </c>
      <c r="E47" s="5" t="s">
        <v>15</v>
      </c>
      <c r="F47" s="5">
        <f t="shared" si="3"/>
        <v>1</v>
      </c>
      <c r="G47" s="5">
        <f t="shared" si="0"/>
        <v>0</v>
      </c>
      <c r="H47" s="5">
        <f t="shared" si="1"/>
        <v>0</v>
      </c>
      <c r="I47" s="5">
        <f t="shared" si="2"/>
        <v>0</v>
      </c>
      <c r="J47" s="5">
        <v>50</v>
      </c>
      <c r="K47" s="5" t="s">
        <v>44</v>
      </c>
      <c r="L47" s="5">
        <v>59</v>
      </c>
      <c r="M47" t="str" cm="1">
        <f t="array" ref="M47">_xlfn.IFS(L47&lt;=14,"Short",L47&lt;=30,"Medium",L47&lt;=45,"Long",L47&lt;=60,"Very Long")</f>
        <v>Very Long</v>
      </c>
      <c r="N47" s="5" t="s">
        <v>95</v>
      </c>
      <c r="O47" s="6">
        <v>10</v>
      </c>
    </row>
    <row r="48" spans="1:15" x14ac:dyDescent="0.25">
      <c r="A48" s="1" t="s">
        <v>96</v>
      </c>
      <c r="B48" s="2">
        <v>79</v>
      </c>
      <c r="C48" t="str" cm="1">
        <f t="array" ref="C48">_xlfn.IFS(B48&lt;=30,"Young",B48&lt;=50,"Middle-aged",B48&gt;50,"Older")</f>
        <v>Older</v>
      </c>
      <c r="D48" s="2" t="s">
        <v>10</v>
      </c>
      <c r="E48" s="2" t="s">
        <v>11</v>
      </c>
      <c r="F48" s="2">
        <f t="shared" si="3"/>
        <v>0</v>
      </c>
      <c r="G48" s="2">
        <f t="shared" si="0"/>
        <v>0</v>
      </c>
      <c r="H48" s="2">
        <f t="shared" si="1"/>
        <v>0</v>
      </c>
      <c r="I48" s="2">
        <f t="shared" si="2"/>
        <v>0</v>
      </c>
      <c r="J48" s="2">
        <v>500</v>
      </c>
      <c r="K48" s="2" t="s">
        <v>84</v>
      </c>
      <c r="L48" s="2">
        <v>54</v>
      </c>
      <c r="M48" t="str" cm="1">
        <f t="array" ref="M48">_xlfn.IFS(L48&lt;=14,"Short",L48&lt;=30,"Medium",L48&lt;=45,"Long",L48&lt;=60,"Very Long")</f>
        <v>Very Long</v>
      </c>
      <c r="N48" s="2" t="s">
        <v>97</v>
      </c>
      <c r="O48" s="3">
        <v>8</v>
      </c>
    </row>
    <row r="49" spans="1:15" x14ac:dyDescent="0.25">
      <c r="A49" s="4" t="s">
        <v>98</v>
      </c>
      <c r="B49" s="5">
        <v>64</v>
      </c>
      <c r="C49" t="str" cm="1">
        <f t="array" ref="C49">_xlfn.IFS(B49&lt;=30,"Young",B49&lt;=50,"Middle-aged",B49&gt;50,"Older")</f>
        <v>Older</v>
      </c>
      <c r="D49" s="5" t="s">
        <v>10</v>
      </c>
      <c r="E49" s="5" t="s">
        <v>11</v>
      </c>
      <c r="F49" s="5">
        <f t="shared" si="3"/>
        <v>0</v>
      </c>
      <c r="G49" s="5">
        <f t="shared" si="0"/>
        <v>0</v>
      </c>
      <c r="H49" s="5">
        <f t="shared" si="1"/>
        <v>0</v>
      </c>
      <c r="I49" s="5">
        <f t="shared" si="2"/>
        <v>0</v>
      </c>
      <c r="J49" s="5">
        <v>500</v>
      </c>
      <c r="K49" s="5" t="s">
        <v>51</v>
      </c>
      <c r="L49" s="5">
        <v>14</v>
      </c>
      <c r="M49" t="str" cm="1">
        <f t="array" ref="M49">_xlfn.IFS(L49&lt;=14,"Short",L49&lt;=30,"Medium",L49&lt;=45,"Long",L49&lt;=60,"Very Long")</f>
        <v>Short</v>
      </c>
      <c r="N49" s="5" t="s">
        <v>41</v>
      </c>
      <c r="O49" s="6">
        <v>7.8</v>
      </c>
    </row>
    <row r="50" spans="1:15" x14ac:dyDescent="0.25">
      <c r="A50" s="1" t="s">
        <v>99</v>
      </c>
      <c r="B50" s="2">
        <v>79</v>
      </c>
      <c r="C50" t="str" cm="1">
        <f t="array" ref="C50">_xlfn.IFS(B50&lt;=30,"Young",B50&lt;=50,"Middle-aged",B50&gt;50,"Older")</f>
        <v>Older</v>
      </c>
      <c r="D50" s="2" t="s">
        <v>19</v>
      </c>
      <c r="E50" s="2" t="s">
        <v>33</v>
      </c>
      <c r="F50" s="2">
        <f t="shared" si="3"/>
        <v>0</v>
      </c>
      <c r="G50" s="2">
        <f t="shared" si="0"/>
        <v>0</v>
      </c>
      <c r="H50" s="2">
        <f t="shared" si="1"/>
        <v>0</v>
      </c>
      <c r="I50" s="2">
        <f t="shared" si="2"/>
        <v>1</v>
      </c>
      <c r="J50" s="2">
        <v>850</v>
      </c>
      <c r="K50" s="2" t="s">
        <v>49</v>
      </c>
      <c r="L50" s="2">
        <v>25</v>
      </c>
      <c r="M50" t="str" cm="1">
        <f t="array" ref="M50">_xlfn.IFS(L50&lt;=14,"Short",L50&lt;=30,"Medium",L50&lt;=45,"Long",L50&lt;=60,"Very Long")</f>
        <v>Medium</v>
      </c>
      <c r="N50" s="2" t="s">
        <v>91</v>
      </c>
      <c r="O50" s="3">
        <v>4.3</v>
      </c>
    </row>
    <row r="51" spans="1:15" x14ac:dyDescent="0.25">
      <c r="A51" s="4" t="s">
        <v>100</v>
      </c>
      <c r="B51" s="5">
        <v>68</v>
      </c>
      <c r="C51" t="str" cm="1">
        <f t="array" ref="C51">_xlfn.IFS(B51&lt;=30,"Young",B51&lt;=50,"Middle-aged",B51&gt;50,"Older")</f>
        <v>Older</v>
      </c>
      <c r="D51" s="5" t="s">
        <v>19</v>
      </c>
      <c r="E51" s="5" t="s">
        <v>15</v>
      </c>
      <c r="F51" s="5">
        <f t="shared" si="3"/>
        <v>1</v>
      </c>
      <c r="G51" s="5">
        <f t="shared" si="0"/>
        <v>0</v>
      </c>
      <c r="H51" s="5">
        <f t="shared" si="1"/>
        <v>0</v>
      </c>
      <c r="I51" s="5">
        <f t="shared" si="2"/>
        <v>0</v>
      </c>
      <c r="J51" s="5">
        <v>100</v>
      </c>
      <c r="K51" s="5" t="s">
        <v>44</v>
      </c>
      <c r="L51" s="5">
        <v>40</v>
      </c>
      <c r="M51" t="str" cm="1">
        <f t="array" ref="M51">_xlfn.IFS(L51&lt;=14,"Short",L51&lt;=30,"Medium",L51&lt;=45,"Long",L51&lt;=60,"Very Long")</f>
        <v>Long</v>
      </c>
      <c r="N51" s="5" t="s">
        <v>101</v>
      </c>
      <c r="O51" s="6">
        <v>6.2</v>
      </c>
    </row>
    <row r="52" spans="1:15" x14ac:dyDescent="0.25">
      <c r="A52" s="1" t="s">
        <v>102</v>
      </c>
      <c r="B52" s="2">
        <v>61</v>
      </c>
      <c r="C52" t="str" cm="1">
        <f t="array" ref="C52">_xlfn.IFS(B52&lt;=30,"Young",B52&lt;=50,"Middle-aged",B52&gt;50,"Older")</f>
        <v>Older</v>
      </c>
      <c r="D52" s="2" t="s">
        <v>19</v>
      </c>
      <c r="E52" s="2" t="s">
        <v>33</v>
      </c>
      <c r="F52" s="2">
        <f t="shared" si="3"/>
        <v>0</v>
      </c>
      <c r="G52" s="2">
        <f t="shared" si="0"/>
        <v>0</v>
      </c>
      <c r="H52" s="2">
        <f t="shared" si="1"/>
        <v>0</v>
      </c>
      <c r="I52" s="2">
        <f t="shared" si="2"/>
        <v>1</v>
      </c>
      <c r="J52" s="2">
        <v>850</v>
      </c>
      <c r="K52" s="2" t="s">
        <v>34</v>
      </c>
      <c r="L52" s="2">
        <v>16</v>
      </c>
      <c r="M52" t="str" cm="1">
        <f t="array" ref="M52">_xlfn.IFS(L52&lt;=14,"Short",L52&lt;=30,"Medium",L52&lt;=45,"Long",L52&lt;=60,"Very Long")</f>
        <v>Medium</v>
      </c>
      <c r="N52" s="2" t="s">
        <v>35</v>
      </c>
      <c r="O52" s="3">
        <v>5.8</v>
      </c>
    </row>
    <row r="53" spans="1:15" x14ac:dyDescent="0.25">
      <c r="A53" s="4" t="s">
        <v>103</v>
      </c>
      <c r="B53" s="5">
        <v>72</v>
      </c>
      <c r="C53" t="str" cm="1">
        <f t="array" ref="C53">_xlfn.IFS(B53&lt;=30,"Young",B53&lt;=50,"Middle-aged",B53&gt;50,"Older")</f>
        <v>Older</v>
      </c>
      <c r="D53" s="5" t="s">
        <v>19</v>
      </c>
      <c r="E53" s="5" t="s">
        <v>15</v>
      </c>
      <c r="F53" s="5">
        <f t="shared" si="3"/>
        <v>1</v>
      </c>
      <c r="G53" s="5">
        <f t="shared" si="0"/>
        <v>0</v>
      </c>
      <c r="H53" s="5">
        <f t="shared" si="1"/>
        <v>0</v>
      </c>
      <c r="I53" s="5">
        <f t="shared" si="2"/>
        <v>0</v>
      </c>
      <c r="J53" s="5">
        <v>50</v>
      </c>
      <c r="K53" s="5" t="s">
        <v>44</v>
      </c>
      <c r="L53" s="5">
        <v>31</v>
      </c>
      <c r="M53" t="str" cm="1">
        <f t="array" ref="M53">_xlfn.IFS(L53&lt;=14,"Short",L53&lt;=30,"Medium",L53&lt;=45,"Long",L53&lt;=60,"Very Long")</f>
        <v>Long</v>
      </c>
      <c r="N53" s="5" t="s">
        <v>30</v>
      </c>
      <c r="O53" s="6">
        <v>6.1</v>
      </c>
    </row>
    <row r="54" spans="1:15" x14ac:dyDescent="0.25">
      <c r="A54" s="1" t="s">
        <v>104</v>
      </c>
      <c r="B54" s="2">
        <v>69</v>
      </c>
      <c r="C54" t="str" cm="1">
        <f t="array" ref="C54">_xlfn.IFS(B54&lt;=30,"Young",B54&lt;=50,"Middle-aged",B54&gt;50,"Older")</f>
        <v>Older</v>
      </c>
      <c r="D54" s="2" t="s">
        <v>10</v>
      </c>
      <c r="E54" s="2" t="s">
        <v>24</v>
      </c>
      <c r="F54" s="2">
        <f t="shared" si="3"/>
        <v>0</v>
      </c>
      <c r="G54" s="2">
        <f t="shared" si="0"/>
        <v>0</v>
      </c>
      <c r="H54" s="2">
        <f t="shared" si="1"/>
        <v>1</v>
      </c>
      <c r="I54" s="2">
        <f t="shared" si="2"/>
        <v>0</v>
      </c>
      <c r="J54" s="2">
        <v>50</v>
      </c>
      <c r="K54" s="2" t="s">
        <v>25</v>
      </c>
      <c r="L54" s="2">
        <v>44</v>
      </c>
      <c r="M54" t="str" cm="1">
        <f t="array" ref="M54">_xlfn.IFS(L54&lt;=14,"Short",L54&lt;=30,"Medium",L54&lt;=45,"Long",L54&lt;=60,"Very Long")</f>
        <v>Long</v>
      </c>
      <c r="N54" s="2" t="s">
        <v>26</v>
      </c>
      <c r="O54" s="3">
        <v>6.7</v>
      </c>
    </row>
    <row r="55" spans="1:15" x14ac:dyDescent="0.25">
      <c r="A55" s="4" t="s">
        <v>105</v>
      </c>
      <c r="B55" s="5">
        <v>74</v>
      </c>
      <c r="C55" t="str" cm="1">
        <f t="array" ref="C55">_xlfn.IFS(B55&lt;=30,"Young",B55&lt;=50,"Middle-aged",B55&gt;50,"Older")</f>
        <v>Older</v>
      </c>
      <c r="D55" s="5" t="s">
        <v>19</v>
      </c>
      <c r="E55" s="5" t="s">
        <v>15</v>
      </c>
      <c r="F55" s="5">
        <f t="shared" si="3"/>
        <v>1</v>
      </c>
      <c r="G55" s="5">
        <f t="shared" si="0"/>
        <v>0</v>
      </c>
      <c r="H55" s="5">
        <f t="shared" si="1"/>
        <v>0</v>
      </c>
      <c r="I55" s="5">
        <f t="shared" si="2"/>
        <v>0</v>
      </c>
      <c r="J55" s="5">
        <v>850</v>
      </c>
      <c r="K55" s="5" t="s">
        <v>16</v>
      </c>
      <c r="L55" s="5">
        <v>6</v>
      </c>
      <c r="M55" t="str" cm="1">
        <f t="array" ref="M55">_xlfn.IFS(L55&lt;=14,"Short",L55&lt;=30,"Medium",L55&lt;=45,"Long",L55&lt;=60,"Very Long")</f>
        <v>Short</v>
      </c>
      <c r="N55" s="5" t="s">
        <v>30</v>
      </c>
      <c r="O55" s="6">
        <v>6.3</v>
      </c>
    </row>
    <row r="56" spans="1:15" x14ac:dyDescent="0.25">
      <c r="A56" s="1" t="s">
        <v>106</v>
      </c>
      <c r="B56" s="2">
        <v>20</v>
      </c>
      <c r="C56" t="str" cm="1">
        <f t="array" ref="C56">_xlfn.IFS(B56&lt;=30,"Young",B56&lt;=50,"Middle-aged",B56&gt;50,"Older")</f>
        <v>Young</v>
      </c>
      <c r="D56" s="2" t="s">
        <v>10</v>
      </c>
      <c r="E56" s="2" t="s">
        <v>33</v>
      </c>
      <c r="F56" s="2">
        <f t="shared" si="3"/>
        <v>0</v>
      </c>
      <c r="G56" s="2">
        <f t="shared" si="0"/>
        <v>0</v>
      </c>
      <c r="H56" s="2">
        <f t="shared" si="1"/>
        <v>0</v>
      </c>
      <c r="I56" s="2">
        <f t="shared" si="2"/>
        <v>1</v>
      </c>
      <c r="J56" s="2">
        <v>50</v>
      </c>
      <c r="K56" s="2" t="s">
        <v>47</v>
      </c>
      <c r="L56" s="2">
        <v>58</v>
      </c>
      <c r="M56" t="str" cm="1">
        <f t="array" ref="M56">_xlfn.IFS(L56&lt;=14,"Short",L56&lt;=30,"Medium",L56&lt;=45,"Long",L56&lt;=60,"Very Long")</f>
        <v>Very Long</v>
      </c>
      <c r="N56" s="2" t="s">
        <v>13</v>
      </c>
      <c r="O56" s="3">
        <v>4</v>
      </c>
    </row>
    <row r="57" spans="1:15" x14ac:dyDescent="0.25">
      <c r="A57" s="4" t="s">
        <v>107</v>
      </c>
      <c r="B57" s="5">
        <v>54</v>
      </c>
      <c r="C57" t="str" cm="1">
        <f t="array" ref="C57">_xlfn.IFS(B57&lt;=30,"Young",B57&lt;=50,"Middle-aged",B57&gt;50,"Older")</f>
        <v>Older</v>
      </c>
      <c r="D57" s="5" t="s">
        <v>19</v>
      </c>
      <c r="E57" s="5" t="s">
        <v>11</v>
      </c>
      <c r="F57" s="5">
        <f t="shared" si="3"/>
        <v>0</v>
      </c>
      <c r="G57" s="5">
        <f t="shared" si="0"/>
        <v>0</v>
      </c>
      <c r="H57" s="5">
        <f t="shared" si="1"/>
        <v>0</v>
      </c>
      <c r="I57" s="5">
        <f t="shared" si="2"/>
        <v>0</v>
      </c>
      <c r="J57" s="5">
        <v>250</v>
      </c>
      <c r="K57" s="5" t="s">
        <v>51</v>
      </c>
      <c r="L57" s="5">
        <v>17</v>
      </c>
      <c r="M57" t="str" cm="1">
        <f t="array" ref="M57">_xlfn.IFS(L57&lt;=14,"Short",L57&lt;=30,"Medium",L57&lt;=45,"Long",L57&lt;=60,"Very Long")</f>
        <v>Medium</v>
      </c>
      <c r="N57" s="5" t="s">
        <v>52</v>
      </c>
      <c r="O57" s="6">
        <v>8.1</v>
      </c>
    </row>
    <row r="58" spans="1:15" x14ac:dyDescent="0.25">
      <c r="A58" s="1" t="s">
        <v>108</v>
      </c>
      <c r="B58" s="2">
        <v>68</v>
      </c>
      <c r="C58" t="str" cm="1">
        <f t="array" ref="C58">_xlfn.IFS(B58&lt;=30,"Young",B58&lt;=50,"Middle-aged",B58&gt;50,"Older")</f>
        <v>Older</v>
      </c>
      <c r="D58" s="2" t="s">
        <v>19</v>
      </c>
      <c r="E58" s="2" t="s">
        <v>15</v>
      </c>
      <c r="F58" s="2">
        <f t="shared" si="3"/>
        <v>1</v>
      </c>
      <c r="G58" s="2">
        <f t="shared" si="0"/>
        <v>0</v>
      </c>
      <c r="H58" s="2">
        <f t="shared" si="1"/>
        <v>0</v>
      </c>
      <c r="I58" s="2">
        <f t="shared" si="2"/>
        <v>0</v>
      </c>
      <c r="J58" s="2">
        <v>100</v>
      </c>
      <c r="K58" s="2" t="s">
        <v>16</v>
      </c>
      <c r="L58" s="2">
        <v>57</v>
      </c>
      <c r="M58" t="str" cm="1">
        <f t="array" ref="M58">_xlfn.IFS(L58&lt;=14,"Short",L58&lt;=30,"Medium",L58&lt;=45,"Long",L58&lt;=60,"Very Long")</f>
        <v>Very Long</v>
      </c>
      <c r="N58" s="2" t="s">
        <v>30</v>
      </c>
      <c r="O58" s="3">
        <v>5.4</v>
      </c>
    </row>
    <row r="59" spans="1:15" x14ac:dyDescent="0.25">
      <c r="A59" s="4" t="s">
        <v>109</v>
      </c>
      <c r="B59" s="5">
        <v>24</v>
      </c>
      <c r="C59" t="str" cm="1">
        <f t="array" ref="C59">_xlfn.IFS(B59&lt;=30,"Young",B59&lt;=50,"Middle-aged",B59&gt;50,"Older")</f>
        <v>Young</v>
      </c>
      <c r="D59" s="5" t="s">
        <v>19</v>
      </c>
      <c r="E59" s="5" t="s">
        <v>15</v>
      </c>
      <c r="F59" s="5">
        <f t="shared" si="3"/>
        <v>1</v>
      </c>
      <c r="G59" s="5">
        <f t="shared" si="0"/>
        <v>0</v>
      </c>
      <c r="H59" s="5">
        <f t="shared" si="1"/>
        <v>0</v>
      </c>
      <c r="I59" s="5">
        <f t="shared" si="2"/>
        <v>0</v>
      </c>
      <c r="J59" s="5">
        <v>100</v>
      </c>
      <c r="K59" s="5" t="s">
        <v>63</v>
      </c>
      <c r="L59" s="5">
        <v>36</v>
      </c>
      <c r="M59" t="str" cm="1">
        <f t="array" ref="M59">_xlfn.IFS(L59&lt;=14,"Short",L59&lt;=30,"Medium",L59&lt;=45,"Long",L59&lt;=60,"Very Long")</f>
        <v>Long</v>
      </c>
      <c r="N59" s="5" t="s">
        <v>110</v>
      </c>
      <c r="O59" s="6">
        <v>7.4</v>
      </c>
    </row>
    <row r="60" spans="1:15" x14ac:dyDescent="0.25">
      <c r="A60" s="1" t="s">
        <v>111</v>
      </c>
      <c r="B60" s="2">
        <v>38</v>
      </c>
      <c r="C60" t="str" cm="1">
        <f t="array" ref="C60">_xlfn.IFS(B60&lt;=30,"Young",B60&lt;=50,"Middle-aged",B60&gt;50,"Older")</f>
        <v>Middle-aged</v>
      </c>
      <c r="D60" s="2" t="s">
        <v>19</v>
      </c>
      <c r="E60" s="2" t="s">
        <v>20</v>
      </c>
      <c r="F60" s="2">
        <f t="shared" si="3"/>
        <v>0</v>
      </c>
      <c r="G60" s="2">
        <f t="shared" si="0"/>
        <v>1</v>
      </c>
      <c r="H60" s="2">
        <f t="shared" si="1"/>
        <v>0</v>
      </c>
      <c r="I60" s="2">
        <f t="shared" si="2"/>
        <v>0</v>
      </c>
      <c r="J60" s="2">
        <v>850</v>
      </c>
      <c r="K60" s="2" t="s">
        <v>21</v>
      </c>
      <c r="L60" s="2">
        <v>35</v>
      </c>
      <c r="M60" t="str" cm="1">
        <f t="array" ref="M60">_xlfn.IFS(L60&lt;=14,"Short",L60&lt;=30,"Medium",L60&lt;=45,"Long",L60&lt;=60,"Very Long")</f>
        <v>Long</v>
      </c>
      <c r="N60" s="2" t="s">
        <v>22</v>
      </c>
      <c r="O60" s="3">
        <v>10</v>
      </c>
    </row>
    <row r="61" spans="1:15" x14ac:dyDescent="0.25">
      <c r="A61" s="4" t="s">
        <v>112</v>
      </c>
      <c r="B61" s="5">
        <v>26</v>
      </c>
      <c r="C61" t="str" cm="1">
        <f t="array" ref="C61">_xlfn.IFS(B61&lt;=30,"Young",B61&lt;=50,"Middle-aged",B61&gt;50,"Older")</f>
        <v>Young</v>
      </c>
      <c r="D61" s="5" t="s">
        <v>19</v>
      </c>
      <c r="E61" s="5" t="s">
        <v>11</v>
      </c>
      <c r="F61" s="5">
        <f t="shared" si="3"/>
        <v>0</v>
      </c>
      <c r="G61" s="5">
        <f t="shared" si="0"/>
        <v>0</v>
      </c>
      <c r="H61" s="5">
        <f t="shared" si="1"/>
        <v>0</v>
      </c>
      <c r="I61" s="5">
        <f t="shared" si="2"/>
        <v>0</v>
      </c>
      <c r="J61" s="5">
        <v>250</v>
      </c>
      <c r="K61" s="5" t="s">
        <v>12</v>
      </c>
      <c r="L61" s="5">
        <v>20</v>
      </c>
      <c r="M61" t="str" cm="1">
        <f t="array" ref="M61">_xlfn.IFS(L61&lt;=14,"Short",L61&lt;=30,"Medium",L61&lt;=45,"Long",L61&lt;=60,"Very Long")</f>
        <v>Medium</v>
      </c>
      <c r="N61" s="5" t="s">
        <v>13</v>
      </c>
      <c r="O61" s="6">
        <v>5.6</v>
      </c>
    </row>
    <row r="62" spans="1:15" x14ac:dyDescent="0.25">
      <c r="A62" s="1" t="s">
        <v>113</v>
      </c>
      <c r="B62" s="2">
        <v>56</v>
      </c>
      <c r="C62" t="str" cm="1">
        <f t="array" ref="C62">_xlfn.IFS(B62&lt;=30,"Young",B62&lt;=50,"Middle-aged",B62&gt;50,"Older")</f>
        <v>Older</v>
      </c>
      <c r="D62" s="2" t="s">
        <v>10</v>
      </c>
      <c r="E62" s="2" t="s">
        <v>24</v>
      </c>
      <c r="F62" s="2">
        <f t="shared" si="3"/>
        <v>0</v>
      </c>
      <c r="G62" s="2">
        <f t="shared" si="0"/>
        <v>0</v>
      </c>
      <c r="H62" s="2">
        <f t="shared" si="1"/>
        <v>1</v>
      </c>
      <c r="I62" s="2">
        <f t="shared" si="2"/>
        <v>0</v>
      </c>
      <c r="J62" s="2">
        <v>500</v>
      </c>
      <c r="K62" s="2" t="s">
        <v>59</v>
      </c>
      <c r="L62" s="2">
        <v>36</v>
      </c>
      <c r="M62" t="str" cm="1">
        <f t="array" ref="M62">_xlfn.IFS(L62&lt;=14,"Short",L62&lt;=30,"Medium",L62&lt;=45,"Long",L62&lt;=60,"Very Long")</f>
        <v>Long</v>
      </c>
      <c r="N62" s="2" t="s">
        <v>74</v>
      </c>
      <c r="O62" s="3">
        <v>3.2</v>
      </c>
    </row>
    <row r="63" spans="1:15" x14ac:dyDescent="0.25">
      <c r="A63" s="4" t="s">
        <v>114</v>
      </c>
      <c r="B63" s="5">
        <v>35</v>
      </c>
      <c r="C63" t="str" cm="1">
        <f t="array" ref="C63">_xlfn.IFS(B63&lt;=30,"Young",B63&lt;=50,"Middle-aged",B63&gt;50,"Older")</f>
        <v>Middle-aged</v>
      </c>
      <c r="D63" s="5" t="s">
        <v>10</v>
      </c>
      <c r="E63" s="5" t="s">
        <v>33</v>
      </c>
      <c r="F63" s="5">
        <f t="shared" si="3"/>
        <v>0</v>
      </c>
      <c r="G63" s="5">
        <f t="shared" si="0"/>
        <v>0</v>
      </c>
      <c r="H63" s="5">
        <f t="shared" si="1"/>
        <v>0</v>
      </c>
      <c r="I63" s="5">
        <f t="shared" si="2"/>
        <v>1</v>
      </c>
      <c r="J63" s="5">
        <v>500</v>
      </c>
      <c r="K63" s="5" t="s">
        <v>49</v>
      </c>
      <c r="L63" s="5">
        <v>36</v>
      </c>
      <c r="M63" t="str" cm="1">
        <f t="array" ref="M63">_xlfn.IFS(L63&lt;=14,"Short",L63&lt;=30,"Medium",L63&lt;=45,"Long",L63&lt;=60,"Very Long")</f>
        <v>Long</v>
      </c>
      <c r="N63" s="5" t="s">
        <v>30</v>
      </c>
      <c r="O63" s="6">
        <v>6.6</v>
      </c>
    </row>
    <row r="64" spans="1:15" x14ac:dyDescent="0.25">
      <c r="A64" s="1" t="s">
        <v>115</v>
      </c>
      <c r="B64" s="2">
        <v>21</v>
      </c>
      <c r="C64" t="str" cm="1">
        <f t="array" ref="C64">_xlfn.IFS(B64&lt;=30,"Young",B64&lt;=50,"Middle-aged",B64&gt;50,"Older")</f>
        <v>Young</v>
      </c>
      <c r="D64" s="2" t="s">
        <v>19</v>
      </c>
      <c r="E64" s="2" t="s">
        <v>24</v>
      </c>
      <c r="F64" s="2">
        <f t="shared" si="3"/>
        <v>0</v>
      </c>
      <c r="G64" s="2">
        <f t="shared" si="0"/>
        <v>0</v>
      </c>
      <c r="H64" s="2">
        <f t="shared" si="1"/>
        <v>1</v>
      </c>
      <c r="I64" s="2">
        <f t="shared" si="2"/>
        <v>0</v>
      </c>
      <c r="J64" s="2">
        <v>250</v>
      </c>
      <c r="K64" s="2" t="s">
        <v>25</v>
      </c>
      <c r="L64" s="2">
        <v>38</v>
      </c>
      <c r="M64" t="str" cm="1">
        <f t="array" ref="M64">_xlfn.IFS(L64&lt;=14,"Short",L64&lt;=30,"Medium",L64&lt;=45,"Long",L64&lt;=60,"Very Long")</f>
        <v>Long</v>
      </c>
      <c r="N64" s="2" t="s">
        <v>26</v>
      </c>
      <c r="O64" s="3">
        <v>8.6999999999999993</v>
      </c>
    </row>
    <row r="65" spans="1:15" x14ac:dyDescent="0.25">
      <c r="A65" s="4" t="s">
        <v>116</v>
      </c>
      <c r="B65" s="5">
        <v>42</v>
      </c>
      <c r="C65" t="str" cm="1">
        <f t="array" ref="C65">_xlfn.IFS(B65&lt;=30,"Young",B65&lt;=50,"Middle-aged",B65&gt;50,"Older")</f>
        <v>Middle-aged</v>
      </c>
      <c r="D65" s="5" t="s">
        <v>19</v>
      </c>
      <c r="E65" s="5" t="s">
        <v>11</v>
      </c>
      <c r="F65" s="5">
        <f t="shared" si="3"/>
        <v>0</v>
      </c>
      <c r="G65" s="5">
        <f t="shared" si="0"/>
        <v>0</v>
      </c>
      <c r="H65" s="5">
        <f t="shared" si="1"/>
        <v>0</v>
      </c>
      <c r="I65" s="5">
        <f t="shared" si="2"/>
        <v>0</v>
      </c>
      <c r="J65" s="5">
        <v>500</v>
      </c>
      <c r="K65" s="5" t="s">
        <v>84</v>
      </c>
      <c r="L65" s="5">
        <v>15</v>
      </c>
      <c r="M65" t="str" cm="1">
        <f t="array" ref="M65">_xlfn.IFS(L65&lt;=14,"Short",L65&lt;=30,"Medium",L65&lt;=45,"Long",L65&lt;=60,"Very Long")</f>
        <v>Medium</v>
      </c>
      <c r="N65" s="5" t="s">
        <v>97</v>
      </c>
      <c r="O65" s="6">
        <v>9.9</v>
      </c>
    </row>
    <row r="66" spans="1:15" x14ac:dyDescent="0.25">
      <c r="A66" s="1" t="s">
        <v>117</v>
      </c>
      <c r="B66" s="2">
        <v>77</v>
      </c>
      <c r="C66" t="str" cm="1">
        <f t="array" ref="C66">_xlfn.IFS(B66&lt;=30,"Young",B66&lt;=50,"Middle-aged",B66&gt;50,"Older")</f>
        <v>Older</v>
      </c>
      <c r="D66" s="2" t="s">
        <v>10</v>
      </c>
      <c r="E66" s="2" t="s">
        <v>15</v>
      </c>
      <c r="F66" s="2">
        <f t="shared" si="3"/>
        <v>1</v>
      </c>
      <c r="G66" s="2">
        <f t="shared" ref="G66:G129" si="4">IF($E66="Depression",1,0)</f>
        <v>0</v>
      </c>
      <c r="H66" s="2">
        <f t="shared" ref="H66:H129" si="5">IF($E66="Diabetes",1,0)</f>
        <v>0</v>
      </c>
      <c r="I66" s="2">
        <f t="shared" ref="I66:I129" si="6">IF($E66="Pain relief",1,0)</f>
        <v>0</v>
      </c>
      <c r="J66" s="2">
        <v>500</v>
      </c>
      <c r="K66" s="2" t="s">
        <v>44</v>
      </c>
      <c r="L66" s="2">
        <v>14</v>
      </c>
      <c r="M66" t="str" cm="1">
        <f t="array" ref="M66">_xlfn.IFS(L66&lt;=14,"Short",L66&lt;=30,"Medium",L66&lt;=45,"Long",L66&lt;=60,"Very Long")</f>
        <v>Short</v>
      </c>
      <c r="N66" s="2" t="s">
        <v>30</v>
      </c>
      <c r="O66" s="3">
        <v>5.2</v>
      </c>
    </row>
    <row r="67" spans="1:15" x14ac:dyDescent="0.25">
      <c r="A67" s="4" t="s">
        <v>118</v>
      </c>
      <c r="B67" s="5">
        <v>31</v>
      </c>
      <c r="C67" t="str" cm="1">
        <f t="array" ref="C67">_xlfn.IFS(B67&lt;=30,"Young",B67&lt;=50,"Middle-aged",B67&gt;50,"Older")</f>
        <v>Middle-aged</v>
      </c>
      <c r="D67" s="5" t="s">
        <v>19</v>
      </c>
      <c r="E67" s="5" t="s">
        <v>15</v>
      </c>
      <c r="F67" s="5">
        <f t="shared" ref="F67:F130" si="7">IF($E67="Hypertension",1,0)</f>
        <v>1</v>
      </c>
      <c r="G67" s="5">
        <f t="shared" si="4"/>
        <v>0</v>
      </c>
      <c r="H67" s="5">
        <f t="shared" si="5"/>
        <v>0</v>
      </c>
      <c r="I67" s="5">
        <f t="shared" si="6"/>
        <v>0</v>
      </c>
      <c r="J67" s="5">
        <v>850</v>
      </c>
      <c r="K67" s="5" t="s">
        <v>44</v>
      </c>
      <c r="L67" s="5">
        <v>19</v>
      </c>
      <c r="M67" t="str" cm="1">
        <f t="array" ref="M67">_xlfn.IFS(L67&lt;=14,"Short",L67&lt;=30,"Medium",L67&lt;=45,"Long",L67&lt;=60,"Very Long")</f>
        <v>Medium</v>
      </c>
      <c r="N67" s="5" t="s">
        <v>95</v>
      </c>
      <c r="O67" s="6">
        <v>7.7</v>
      </c>
    </row>
    <row r="68" spans="1:15" x14ac:dyDescent="0.25">
      <c r="A68" s="1" t="s">
        <v>119</v>
      </c>
      <c r="B68" s="2">
        <v>67</v>
      </c>
      <c r="C68" t="str" cm="1">
        <f t="array" ref="C68">_xlfn.IFS(B68&lt;=30,"Young",B68&lt;=50,"Middle-aged",B68&gt;50,"Older")</f>
        <v>Older</v>
      </c>
      <c r="D68" s="2" t="s">
        <v>19</v>
      </c>
      <c r="E68" s="2" t="s">
        <v>11</v>
      </c>
      <c r="F68" s="2">
        <f t="shared" si="7"/>
        <v>0</v>
      </c>
      <c r="G68" s="2">
        <f t="shared" si="4"/>
        <v>0</v>
      </c>
      <c r="H68" s="2">
        <f t="shared" si="5"/>
        <v>0</v>
      </c>
      <c r="I68" s="2">
        <f t="shared" si="6"/>
        <v>0</v>
      </c>
      <c r="J68" s="2">
        <v>100</v>
      </c>
      <c r="K68" s="2" t="s">
        <v>12</v>
      </c>
      <c r="L68" s="2">
        <v>21</v>
      </c>
      <c r="M68" t="str" cm="1">
        <f t="array" ref="M68">_xlfn.IFS(L68&lt;=14,"Short",L68&lt;=30,"Medium",L68&lt;=45,"Long",L68&lt;=60,"Very Long")</f>
        <v>Medium</v>
      </c>
      <c r="N68" s="2" t="s">
        <v>120</v>
      </c>
      <c r="O68" s="3">
        <v>6.3</v>
      </c>
    </row>
    <row r="69" spans="1:15" x14ac:dyDescent="0.25">
      <c r="A69" s="4" t="s">
        <v>121</v>
      </c>
      <c r="B69" s="5">
        <v>75</v>
      </c>
      <c r="C69" t="str" cm="1">
        <f t="array" ref="C69">_xlfn.IFS(B69&lt;=30,"Young",B69&lt;=50,"Middle-aged",B69&gt;50,"Older")</f>
        <v>Older</v>
      </c>
      <c r="D69" s="5" t="s">
        <v>10</v>
      </c>
      <c r="E69" s="5" t="s">
        <v>15</v>
      </c>
      <c r="F69" s="5">
        <f t="shared" si="7"/>
        <v>1</v>
      </c>
      <c r="G69" s="5">
        <f t="shared" si="4"/>
        <v>0</v>
      </c>
      <c r="H69" s="5">
        <f t="shared" si="5"/>
        <v>0</v>
      </c>
      <c r="I69" s="5">
        <f t="shared" si="6"/>
        <v>0</v>
      </c>
      <c r="J69" s="5">
        <v>850</v>
      </c>
      <c r="K69" s="5" t="s">
        <v>16</v>
      </c>
      <c r="L69" s="5">
        <v>44</v>
      </c>
      <c r="M69" t="str" cm="1">
        <f t="array" ref="M69">_xlfn.IFS(L69&lt;=14,"Short",L69&lt;=30,"Medium",L69&lt;=45,"Long",L69&lt;=60,"Very Long")</f>
        <v>Long</v>
      </c>
      <c r="N69" s="5" t="s">
        <v>17</v>
      </c>
      <c r="O69" s="6">
        <v>6.8</v>
      </c>
    </row>
    <row r="70" spans="1:15" x14ac:dyDescent="0.25">
      <c r="A70" s="1" t="s">
        <v>122</v>
      </c>
      <c r="B70" s="2">
        <v>26</v>
      </c>
      <c r="C70" t="str" cm="1">
        <f t="array" ref="C70">_xlfn.IFS(B70&lt;=30,"Young",B70&lt;=50,"Middle-aged",B70&gt;50,"Older")</f>
        <v>Young</v>
      </c>
      <c r="D70" s="2" t="s">
        <v>19</v>
      </c>
      <c r="E70" s="2" t="s">
        <v>15</v>
      </c>
      <c r="F70" s="2">
        <f t="shared" si="7"/>
        <v>1</v>
      </c>
      <c r="G70" s="2">
        <f t="shared" si="4"/>
        <v>0</v>
      </c>
      <c r="H70" s="2">
        <f t="shared" si="5"/>
        <v>0</v>
      </c>
      <c r="I70" s="2">
        <f t="shared" si="6"/>
        <v>0</v>
      </c>
      <c r="J70" s="2">
        <v>50</v>
      </c>
      <c r="K70" s="2" t="s">
        <v>44</v>
      </c>
      <c r="L70" s="2">
        <v>22</v>
      </c>
      <c r="M70" t="str" cm="1">
        <f t="array" ref="M70">_xlfn.IFS(L70&lt;=14,"Short",L70&lt;=30,"Medium",L70&lt;=45,"Long",L70&lt;=60,"Very Long")</f>
        <v>Medium</v>
      </c>
      <c r="N70" s="2" t="s">
        <v>101</v>
      </c>
      <c r="O70" s="3">
        <v>10</v>
      </c>
    </row>
    <row r="71" spans="1:15" x14ac:dyDescent="0.25">
      <c r="A71" s="4" t="s">
        <v>123</v>
      </c>
      <c r="B71" s="5">
        <v>43</v>
      </c>
      <c r="C71" t="str" cm="1">
        <f t="array" ref="C71">_xlfn.IFS(B71&lt;=30,"Young",B71&lt;=50,"Middle-aged",B71&gt;50,"Older")</f>
        <v>Middle-aged</v>
      </c>
      <c r="D71" s="5" t="s">
        <v>19</v>
      </c>
      <c r="E71" s="5" t="s">
        <v>15</v>
      </c>
      <c r="F71" s="5">
        <f t="shared" si="7"/>
        <v>1</v>
      </c>
      <c r="G71" s="5">
        <f t="shared" si="4"/>
        <v>0</v>
      </c>
      <c r="H71" s="5">
        <f t="shared" si="5"/>
        <v>0</v>
      </c>
      <c r="I71" s="5">
        <f t="shared" si="6"/>
        <v>0</v>
      </c>
      <c r="J71" s="5">
        <v>100</v>
      </c>
      <c r="K71" s="5" t="s">
        <v>44</v>
      </c>
      <c r="L71" s="5">
        <v>59</v>
      </c>
      <c r="M71" t="str" cm="1">
        <f t="array" ref="M71">_xlfn.IFS(L71&lt;=14,"Short",L71&lt;=30,"Medium",L71&lt;=45,"Long",L71&lt;=60,"Very Long")</f>
        <v>Very Long</v>
      </c>
      <c r="N71" s="5" t="s">
        <v>95</v>
      </c>
      <c r="O71" s="6">
        <v>4.7</v>
      </c>
    </row>
    <row r="72" spans="1:15" x14ac:dyDescent="0.25">
      <c r="A72" s="1" t="s">
        <v>124</v>
      </c>
      <c r="B72" s="2">
        <v>70</v>
      </c>
      <c r="C72" t="str" cm="1">
        <f t="array" ref="C72">_xlfn.IFS(B72&lt;=30,"Young",B72&lt;=50,"Middle-aged",B72&gt;50,"Older")</f>
        <v>Older</v>
      </c>
      <c r="D72" s="2" t="s">
        <v>10</v>
      </c>
      <c r="E72" s="2" t="s">
        <v>33</v>
      </c>
      <c r="F72" s="2">
        <f t="shared" si="7"/>
        <v>0</v>
      </c>
      <c r="G72" s="2">
        <f t="shared" si="4"/>
        <v>0</v>
      </c>
      <c r="H72" s="2">
        <f t="shared" si="5"/>
        <v>0</v>
      </c>
      <c r="I72" s="2">
        <f t="shared" si="6"/>
        <v>1</v>
      </c>
      <c r="J72" s="2">
        <v>50</v>
      </c>
      <c r="K72" s="2" t="s">
        <v>49</v>
      </c>
      <c r="L72" s="2">
        <v>13</v>
      </c>
      <c r="M72" t="str" cm="1">
        <f t="array" ref="M72">_xlfn.IFS(L72&lt;=14,"Short",L72&lt;=30,"Medium",L72&lt;=45,"Long",L72&lt;=60,"Very Long")</f>
        <v>Short</v>
      </c>
      <c r="N72" s="2" t="s">
        <v>30</v>
      </c>
      <c r="O72" s="3">
        <v>7.4</v>
      </c>
    </row>
    <row r="73" spans="1:15" x14ac:dyDescent="0.25">
      <c r="A73" s="4" t="s">
        <v>125</v>
      </c>
      <c r="B73" s="5">
        <v>19</v>
      </c>
      <c r="C73" t="str" cm="1">
        <f t="array" ref="C73">_xlfn.IFS(B73&lt;=30,"Young",B73&lt;=50,"Middle-aged",B73&gt;50,"Older")</f>
        <v>Young</v>
      </c>
      <c r="D73" s="5" t="s">
        <v>10</v>
      </c>
      <c r="E73" s="5" t="s">
        <v>33</v>
      </c>
      <c r="F73" s="5">
        <f t="shared" si="7"/>
        <v>0</v>
      </c>
      <c r="G73" s="5">
        <f t="shared" si="4"/>
        <v>0</v>
      </c>
      <c r="H73" s="5">
        <f t="shared" si="5"/>
        <v>0</v>
      </c>
      <c r="I73" s="5">
        <f t="shared" si="6"/>
        <v>1</v>
      </c>
      <c r="J73" s="5">
        <v>250</v>
      </c>
      <c r="K73" s="5" t="s">
        <v>34</v>
      </c>
      <c r="L73" s="5">
        <v>29</v>
      </c>
      <c r="M73" t="str" cm="1">
        <f t="array" ref="M73">_xlfn.IFS(L73&lt;=14,"Short",L73&lt;=30,"Medium",L73&lt;=45,"Long",L73&lt;=60,"Very Long")</f>
        <v>Medium</v>
      </c>
      <c r="N73" s="5" t="s">
        <v>95</v>
      </c>
      <c r="O73" s="6">
        <v>7.7</v>
      </c>
    </row>
    <row r="74" spans="1:15" x14ac:dyDescent="0.25">
      <c r="A74" s="1" t="s">
        <v>126</v>
      </c>
      <c r="B74" s="2">
        <v>37</v>
      </c>
      <c r="C74" t="str" cm="1">
        <f t="array" ref="C74">_xlfn.IFS(B74&lt;=30,"Young",B74&lt;=50,"Middle-aged",B74&gt;50,"Older")</f>
        <v>Middle-aged</v>
      </c>
      <c r="D74" s="2" t="s">
        <v>10</v>
      </c>
      <c r="E74" s="2" t="s">
        <v>20</v>
      </c>
      <c r="F74" s="2">
        <f t="shared" si="7"/>
        <v>0</v>
      </c>
      <c r="G74" s="2">
        <f t="shared" si="4"/>
        <v>1</v>
      </c>
      <c r="H74" s="2">
        <f t="shared" si="5"/>
        <v>0</v>
      </c>
      <c r="I74" s="2">
        <f t="shared" si="6"/>
        <v>0</v>
      </c>
      <c r="J74" s="2">
        <v>250</v>
      </c>
      <c r="K74" s="2" t="s">
        <v>37</v>
      </c>
      <c r="L74" s="2">
        <v>44</v>
      </c>
      <c r="M74" t="str" cm="1">
        <f t="array" ref="M74">_xlfn.IFS(L74&lt;=14,"Short",L74&lt;=30,"Medium",L74&lt;=45,"Long",L74&lt;=60,"Very Long")</f>
        <v>Long</v>
      </c>
      <c r="N74" s="2" t="s">
        <v>88</v>
      </c>
      <c r="O74" s="3">
        <v>8.6</v>
      </c>
    </row>
    <row r="75" spans="1:15" x14ac:dyDescent="0.25">
      <c r="A75" s="4" t="s">
        <v>127</v>
      </c>
      <c r="B75" s="5">
        <v>45</v>
      </c>
      <c r="C75" t="str" cm="1">
        <f t="array" ref="C75">_xlfn.IFS(B75&lt;=30,"Young",B75&lt;=50,"Middle-aged",B75&gt;50,"Older")</f>
        <v>Middle-aged</v>
      </c>
      <c r="D75" s="5" t="s">
        <v>19</v>
      </c>
      <c r="E75" s="5" t="s">
        <v>24</v>
      </c>
      <c r="F75" s="5">
        <f t="shared" si="7"/>
        <v>0</v>
      </c>
      <c r="G75" s="5">
        <f t="shared" si="4"/>
        <v>0</v>
      </c>
      <c r="H75" s="5">
        <f t="shared" si="5"/>
        <v>1</v>
      </c>
      <c r="I75" s="5">
        <f t="shared" si="6"/>
        <v>0</v>
      </c>
      <c r="J75" s="5">
        <v>500</v>
      </c>
      <c r="K75" s="5" t="s">
        <v>39</v>
      </c>
      <c r="L75" s="5">
        <v>18</v>
      </c>
      <c r="M75" t="str" cm="1">
        <f t="array" ref="M75">_xlfn.IFS(L75&lt;=14,"Short",L75&lt;=30,"Medium",L75&lt;=45,"Long",L75&lt;=60,"Very Long")</f>
        <v>Medium</v>
      </c>
      <c r="N75" s="5" t="s">
        <v>13</v>
      </c>
      <c r="O75" s="6">
        <v>7.1</v>
      </c>
    </row>
    <row r="76" spans="1:15" x14ac:dyDescent="0.25">
      <c r="A76" s="1" t="s">
        <v>128</v>
      </c>
      <c r="B76" s="2">
        <v>64</v>
      </c>
      <c r="C76" t="str" cm="1">
        <f t="array" ref="C76">_xlfn.IFS(B76&lt;=30,"Young",B76&lt;=50,"Middle-aged",B76&gt;50,"Older")</f>
        <v>Older</v>
      </c>
      <c r="D76" s="2" t="s">
        <v>10</v>
      </c>
      <c r="E76" s="2" t="s">
        <v>11</v>
      </c>
      <c r="F76" s="2">
        <f t="shared" si="7"/>
        <v>0</v>
      </c>
      <c r="G76" s="2">
        <f t="shared" si="4"/>
        <v>0</v>
      </c>
      <c r="H76" s="2">
        <f t="shared" si="5"/>
        <v>0</v>
      </c>
      <c r="I76" s="2">
        <f t="shared" si="6"/>
        <v>0</v>
      </c>
      <c r="J76" s="2">
        <v>850</v>
      </c>
      <c r="K76" s="2" t="s">
        <v>12</v>
      </c>
      <c r="L76" s="2">
        <v>29</v>
      </c>
      <c r="M76" t="str" cm="1">
        <f t="array" ref="M76">_xlfn.IFS(L76&lt;=14,"Short",L76&lt;=30,"Medium",L76&lt;=45,"Long",L76&lt;=60,"Very Long")</f>
        <v>Medium</v>
      </c>
      <c r="N76" s="2" t="s">
        <v>120</v>
      </c>
      <c r="O76" s="3">
        <v>7.5</v>
      </c>
    </row>
    <row r="77" spans="1:15" x14ac:dyDescent="0.25">
      <c r="A77" s="4" t="s">
        <v>129</v>
      </c>
      <c r="B77" s="5">
        <v>77</v>
      </c>
      <c r="C77" t="str" cm="1">
        <f t="array" ref="C77">_xlfn.IFS(B77&lt;=30,"Young",B77&lt;=50,"Middle-aged",B77&gt;50,"Older")</f>
        <v>Older</v>
      </c>
      <c r="D77" s="5" t="s">
        <v>10</v>
      </c>
      <c r="E77" s="5" t="s">
        <v>11</v>
      </c>
      <c r="F77" s="5">
        <f t="shared" si="7"/>
        <v>0</v>
      </c>
      <c r="G77" s="5">
        <f t="shared" si="4"/>
        <v>0</v>
      </c>
      <c r="H77" s="5">
        <f t="shared" si="5"/>
        <v>0</v>
      </c>
      <c r="I77" s="5">
        <f t="shared" si="6"/>
        <v>0</v>
      </c>
      <c r="J77" s="5">
        <v>50</v>
      </c>
      <c r="K77" s="5" t="s">
        <v>12</v>
      </c>
      <c r="L77" s="5">
        <v>54</v>
      </c>
      <c r="M77" t="str" cm="1">
        <f t="array" ref="M77">_xlfn.IFS(L77&lt;=14,"Short",L77&lt;=30,"Medium",L77&lt;=45,"Long",L77&lt;=60,"Very Long")</f>
        <v>Very Long</v>
      </c>
      <c r="N77" s="5" t="s">
        <v>120</v>
      </c>
      <c r="O77" s="6">
        <v>6.4</v>
      </c>
    </row>
    <row r="78" spans="1:15" x14ac:dyDescent="0.25">
      <c r="A78" s="1" t="s">
        <v>130</v>
      </c>
      <c r="B78" s="2">
        <v>24</v>
      </c>
      <c r="C78" t="str" cm="1">
        <f t="array" ref="C78">_xlfn.IFS(B78&lt;=30,"Young",B78&lt;=50,"Middle-aged",B78&gt;50,"Older")</f>
        <v>Young</v>
      </c>
      <c r="D78" s="2" t="s">
        <v>10</v>
      </c>
      <c r="E78" s="2" t="s">
        <v>11</v>
      </c>
      <c r="F78" s="2">
        <f t="shared" si="7"/>
        <v>0</v>
      </c>
      <c r="G78" s="2">
        <f t="shared" si="4"/>
        <v>0</v>
      </c>
      <c r="H78" s="2">
        <f t="shared" si="5"/>
        <v>0</v>
      </c>
      <c r="I78" s="2">
        <f t="shared" si="6"/>
        <v>0</v>
      </c>
      <c r="J78" s="2">
        <v>100</v>
      </c>
      <c r="K78" s="2" t="s">
        <v>84</v>
      </c>
      <c r="L78" s="2">
        <v>26</v>
      </c>
      <c r="M78" t="str" cm="1">
        <f t="array" ref="M78">_xlfn.IFS(L78&lt;=14,"Short",L78&lt;=30,"Medium",L78&lt;=45,"Long",L78&lt;=60,"Very Long")</f>
        <v>Medium</v>
      </c>
      <c r="N78" s="2" t="s">
        <v>85</v>
      </c>
      <c r="O78" s="3">
        <v>7.4</v>
      </c>
    </row>
    <row r="79" spans="1:15" x14ac:dyDescent="0.25">
      <c r="A79" s="4" t="s">
        <v>131</v>
      </c>
      <c r="B79" s="5">
        <v>61</v>
      </c>
      <c r="C79" t="str" cm="1">
        <f t="array" ref="C79">_xlfn.IFS(B79&lt;=30,"Young",B79&lt;=50,"Middle-aged",B79&gt;50,"Older")</f>
        <v>Older</v>
      </c>
      <c r="D79" s="5" t="s">
        <v>10</v>
      </c>
      <c r="E79" s="5" t="s">
        <v>20</v>
      </c>
      <c r="F79" s="5">
        <f t="shared" si="7"/>
        <v>0</v>
      </c>
      <c r="G79" s="5">
        <f t="shared" si="4"/>
        <v>1</v>
      </c>
      <c r="H79" s="5">
        <f t="shared" si="5"/>
        <v>0</v>
      </c>
      <c r="I79" s="5">
        <f t="shared" si="6"/>
        <v>0</v>
      </c>
      <c r="J79" s="5">
        <v>850</v>
      </c>
      <c r="K79" s="5" t="s">
        <v>21</v>
      </c>
      <c r="L79" s="5">
        <v>56</v>
      </c>
      <c r="M79" t="str" cm="1">
        <f t="array" ref="M79">_xlfn.IFS(L79&lt;=14,"Short",L79&lt;=30,"Medium",L79&lt;=45,"Long",L79&lt;=60,"Very Long")</f>
        <v>Very Long</v>
      </c>
      <c r="N79" s="5" t="s">
        <v>41</v>
      </c>
      <c r="O79" s="6">
        <v>6.5</v>
      </c>
    </row>
    <row r="80" spans="1:15" x14ac:dyDescent="0.25">
      <c r="A80" s="1" t="s">
        <v>132</v>
      </c>
      <c r="B80" s="2">
        <v>78</v>
      </c>
      <c r="C80" t="str" cm="1">
        <f t="array" ref="C80">_xlfn.IFS(B80&lt;=30,"Young",B80&lt;=50,"Middle-aged",B80&gt;50,"Older")</f>
        <v>Older</v>
      </c>
      <c r="D80" s="2" t="s">
        <v>10</v>
      </c>
      <c r="E80" s="2" t="s">
        <v>33</v>
      </c>
      <c r="F80" s="2">
        <f t="shared" si="7"/>
        <v>0</v>
      </c>
      <c r="G80" s="2">
        <f t="shared" si="4"/>
        <v>0</v>
      </c>
      <c r="H80" s="2">
        <f t="shared" si="5"/>
        <v>0</v>
      </c>
      <c r="I80" s="2">
        <f t="shared" si="6"/>
        <v>1</v>
      </c>
      <c r="J80" s="2">
        <v>50</v>
      </c>
      <c r="K80" s="2" t="s">
        <v>34</v>
      </c>
      <c r="L80" s="2">
        <v>34</v>
      </c>
      <c r="M80" t="str" cm="1">
        <f t="array" ref="M80">_xlfn.IFS(L80&lt;=14,"Short",L80&lt;=30,"Medium",L80&lt;=45,"Long",L80&lt;=60,"Very Long")</f>
        <v>Long</v>
      </c>
      <c r="N80" s="2" t="s">
        <v>97</v>
      </c>
      <c r="O80" s="3">
        <v>7.9</v>
      </c>
    </row>
    <row r="81" spans="1:15" x14ac:dyDescent="0.25">
      <c r="A81" s="4" t="s">
        <v>133</v>
      </c>
      <c r="B81" s="5">
        <v>25</v>
      </c>
      <c r="C81" t="str" cm="1">
        <f t="array" ref="C81">_xlfn.IFS(B81&lt;=30,"Young",B81&lt;=50,"Middle-aged",B81&gt;50,"Older")</f>
        <v>Young</v>
      </c>
      <c r="D81" s="5" t="s">
        <v>10</v>
      </c>
      <c r="E81" s="5" t="s">
        <v>20</v>
      </c>
      <c r="F81" s="5">
        <f t="shared" si="7"/>
        <v>0</v>
      </c>
      <c r="G81" s="5">
        <f t="shared" si="4"/>
        <v>1</v>
      </c>
      <c r="H81" s="5">
        <f t="shared" si="5"/>
        <v>0</v>
      </c>
      <c r="I81" s="5">
        <f t="shared" si="6"/>
        <v>0</v>
      </c>
      <c r="J81" s="5">
        <v>50</v>
      </c>
      <c r="K81" s="5" t="s">
        <v>21</v>
      </c>
      <c r="L81" s="5">
        <v>24</v>
      </c>
      <c r="M81" t="str" cm="1">
        <f t="array" ref="M81">_xlfn.IFS(L81&lt;=14,"Short",L81&lt;=30,"Medium",L81&lt;=45,"Long",L81&lt;=60,"Very Long")</f>
        <v>Medium</v>
      </c>
      <c r="N81" s="5" t="s">
        <v>28</v>
      </c>
      <c r="O81" s="6">
        <v>6.4</v>
      </c>
    </row>
    <row r="82" spans="1:15" x14ac:dyDescent="0.25">
      <c r="A82" s="1" t="s">
        <v>134</v>
      </c>
      <c r="B82" s="2">
        <v>64</v>
      </c>
      <c r="C82" t="str" cm="1">
        <f t="array" ref="C82">_xlfn.IFS(B82&lt;=30,"Young",B82&lt;=50,"Middle-aged",B82&gt;50,"Older")</f>
        <v>Older</v>
      </c>
      <c r="D82" s="2" t="s">
        <v>19</v>
      </c>
      <c r="E82" s="2" t="s">
        <v>11</v>
      </c>
      <c r="F82" s="2">
        <f t="shared" si="7"/>
        <v>0</v>
      </c>
      <c r="G82" s="2">
        <f t="shared" si="4"/>
        <v>0</v>
      </c>
      <c r="H82" s="2">
        <f t="shared" si="5"/>
        <v>0</v>
      </c>
      <c r="I82" s="2">
        <f t="shared" si="6"/>
        <v>0</v>
      </c>
      <c r="J82" s="2">
        <v>850</v>
      </c>
      <c r="K82" s="2" t="s">
        <v>51</v>
      </c>
      <c r="L82" s="2">
        <v>25</v>
      </c>
      <c r="M82" t="str" cm="1">
        <f t="array" ref="M82">_xlfn.IFS(L82&lt;=14,"Short",L82&lt;=30,"Medium",L82&lt;=45,"Long",L82&lt;=60,"Very Long")</f>
        <v>Medium</v>
      </c>
      <c r="N82" s="2" t="s">
        <v>13</v>
      </c>
      <c r="O82" s="3">
        <v>7.6</v>
      </c>
    </row>
    <row r="83" spans="1:15" x14ac:dyDescent="0.25">
      <c r="A83" s="4" t="s">
        <v>135</v>
      </c>
      <c r="B83" s="5">
        <v>52</v>
      </c>
      <c r="C83" t="str" cm="1">
        <f t="array" ref="C83">_xlfn.IFS(B83&lt;=30,"Young",B83&lt;=50,"Middle-aged",B83&gt;50,"Older")</f>
        <v>Older</v>
      </c>
      <c r="D83" s="5" t="s">
        <v>19</v>
      </c>
      <c r="E83" s="5" t="s">
        <v>24</v>
      </c>
      <c r="F83" s="5">
        <f t="shared" si="7"/>
        <v>0</v>
      </c>
      <c r="G83" s="5">
        <f t="shared" si="4"/>
        <v>0</v>
      </c>
      <c r="H83" s="5">
        <f t="shared" si="5"/>
        <v>1</v>
      </c>
      <c r="I83" s="5">
        <f t="shared" si="6"/>
        <v>0</v>
      </c>
      <c r="J83" s="5">
        <v>500</v>
      </c>
      <c r="K83" s="5" t="s">
        <v>39</v>
      </c>
      <c r="L83" s="5">
        <v>48</v>
      </c>
      <c r="M83" t="str" cm="1">
        <f t="array" ref="M83">_xlfn.IFS(L83&lt;=14,"Short",L83&lt;=30,"Medium",L83&lt;=45,"Long",L83&lt;=60,"Very Long")</f>
        <v>Very Long</v>
      </c>
      <c r="N83" s="5" t="s">
        <v>136</v>
      </c>
      <c r="O83" s="6">
        <v>7</v>
      </c>
    </row>
    <row r="84" spans="1:15" x14ac:dyDescent="0.25">
      <c r="A84" s="1" t="s">
        <v>137</v>
      </c>
      <c r="B84" s="2">
        <v>31</v>
      </c>
      <c r="C84" t="str" cm="1">
        <f t="array" ref="C84">_xlfn.IFS(B84&lt;=30,"Young",B84&lt;=50,"Middle-aged",B84&gt;50,"Older")</f>
        <v>Middle-aged</v>
      </c>
      <c r="D84" s="2" t="s">
        <v>10</v>
      </c>
      <c r="E84" s="2" t="s">
        <v>15</v>
      </c>
      <c r="F84" s="2">
        <f t="shared" si="7"/>
        <v>1</v>
      </c>
      <c r="G84" s="2">
        <f t="shared" si="4"/>
        <v>0</v>
      </c>
      <c r="H84" s="2">
        <f t="shared" si="5"/>
        <v>0</v>
      </c>
      <c r="I84" s="2">
        <f t="shared" si="6"/>
        <v>0</v>
      </c>
      <c r="J84" s="2">
        <v>850</v>
      </c>
      <c r="K84" s="2" t="s">
        <v>63</v>
      </c>
      <c r="L84" s="2">
        <v>36</v>
      </c>
      <c r="M84" t="str" cm="1">
        <f t="array" ref="M84">_xlfn.IFS(L84&lt;=14,"Short",L84&lt;=30,"Medium",L84&lt;=45,"Long",L84&lt;=60,"Very Long")</f>
        <v>Long</v>
      </c>
      <c r="N84" s="2" t="s">
        <v>64</v>
      </c>
      <c r="O84" s="3">
        <v>8.6999999999999993</v>
      </c>
    </row>
    <row r="85" spans="1:15" x14ac:dyDescent="0.25">
      <c r="A85" s="4" t="s">
        <v>138</v>
      </c>
      <c r="B85" s="5">
        <v>34</v>
      </c>
      <c r="C85" t="str" cm="1">
        <f t="array" ref="C85">_xlfn.IFS(B85&lt;=30,"Young",B85&lt;=50,"Middle-aged",B85&gt;50,"Older")</f>
        <v>Middle-aged</v>
      </c>
      <c r="D85" s="5" t="s">
        <v>10</v>
      </c>
      <c r="E85" s="5" t="s">
        <v>33</v>
      </c>
      <c r="F85" s="5">
        <f t="shared" si="7"/>
        <v>0</v>
      </c>
      <c r="G85" s="5">
        <f t="shared" si="4"/>
        <v>0</v>
      </c>
      <c r="H85" s="5">
        <f t="shared" si="5"/>
        <v>0</v>
      </c>
      <c r="I85" s="5">
        <f t="shared" si="6"/>
        <v>1</v>
      </c>
      <c r="J85" s="5">
        <v>500</v>
      </c>
      <c r="K85" s="5" t="s">
        <v>49</v>
      </c>
      <c r="L85" s="5">
        <v>55</v>
      </c>
      <c r="M85" t="str" cm="1">
        <f t="array" ref="M85">_xlfn.IFS(L85&lt;=14,"Short",L85&lt;=30,"Medium",L85&lt;=45,"Long",L85&lt;=60,"Very Long")</f>
        <v>Very Long</v>
      </c>
      <c r="N85" s="5" t="s">
        <v>91</v>
      </c>
      <c r="O85" s="6">
        <v>6.9</v>
      </c>
    </row>
    <row r="86" spans="1:15" x14ac:dyDescent="0.25">
      <c r="A86" s="1" t="s">
        <v>139</v>
      </c>
      <c r="B86" s="2">
        <v>53</v>
      </c>
      <c r="C86" t="str" cm="1">
        <f t="array" ref="C86">_xlfn.IFS(B86&lt;=30,"Young",B86&lt;=50,"Middle-aged",B86&gt;50,"Older")</f>
        <v>Older</v>
      </c>
      <c r="D86" s="2" t="s">
        <v>10</v>
      </c>
      <c r="E86" s="2" t="s">
        <v>33</v>
      </c>
      <c r="F86" s="2">
        <f t="shared" si="7"/>
        <v>0</v>
      </c>
      <c r="G86" s="2">
        <f t="shared" si="4"/>
        <v>0</v>
      </c>
      <c r="H86" s="2">
        <f t="shared" si="5"/>
        <v>0</v>
      </c>
      <c r="I86" s="2">
        <f t="shared" si="6"/>
        <v>1</v>
      </c>
      <c r="J86" s="2">
        <v>850</v>
      </c>
      <c r="K86" s="2" t="s">
        <v>49</v>
      </c>
      <c r="L86" s="2">
        <v>50</v>
      </c>
      <c r="M86" t="str" cm="1">
        <f t="array" ref="M86">_xlfn.IFS(L86&lt;=14,"Short",L86&lt;=30,"Medium",L86&lt;=45,"Long",L86&lt;=60,"Very Long")</f>
        <v>Very Long</v>
      </c>
      <c r="N86" s="2" t="s">
        <v>91</v>
      </c>
      <c r="O86" s="3">
        <v>4.3</v>
      </c>
    </row>
    <row r="87" spans="1:15" x14ac:dyDescent="0.25">
      <c r="A87" s="4" t="s">
        <v>140</v>
      </c>
      <c r="B87" s="5">
        <v>67</v>
      </c>
      <c r="C87" t="str" cm="1">
        <f t="array" ref="C87">_xlfn.IFS(B87&lt;=30,"Young",B87&lt;=50,"Middle-aged",B87&gt;50,"Older")</f>
        <v>Older</v>
      </c>
      <c r="D87" s="5" t="s">
        <v>19</v>
      </c>
      <c r="E87" s="5" t="s">
        <v>20</v>
      </c>
      <c r="F87" s="5">
        <f t="shared" si="7"/>
        <v>0</v>
      </c>
      <c r="G87" s="5">
        <f t="shared" si="4"/>
        <v>1</v>
      </c>
      <c r="H87" s="5">
        <f t="shared" si="5"/>
        <v>0</v>
      </c>
      <c r="I87" s="5">
        <f t="shared" si="6"/>
        <v>0</v>
      </c>
      <c r="J87" s="5">
        <v>50</v>
      </c>
      <c r="K87" s="5" t="s">
        <v>21</v>
      </c>
      <c r="L87" s="5">
        <v>53</v>
      </c>
      <c r="M87" t="str" cm="1">
        <f t="array" ref="M87">_xlfn.IFS(L87&lt;=14,"Short",L87&lt;=30,"Medium",L87&lt;=45,"Long",L87&lt;=60,"Very Long")</f>
        <v>Very Long</v>
      </c>
      <c r="N87" s="5" t="s">
        <v>28</v>
      </c>
      <c r="O87" s="6">
        <v>8.9</v>
      </c>
    </row>
    <row r="88" spans="1:15" x14ac:dyDescent="0.25">
      <c r="A88" s="1" t="s">
        <v>141</v>
      </c>
      <c r="B88" s="2">
        <v>57</v>
      </c>
      <c r="C88" t="str" cm="1">
        <f t="array" ref="C88">_xlfn.IFS(B88&lt;=30,"Young",B88&lt;=50,"Middle-aged",B88&gt;50,"Older")</f>
        <v>Older</v>
      </c>
      <c r="D88" s="2" t="s">
        <v>19</v>
      </c>
      <c r="E88" s="2" t="s">
        <v>33</v>
      </c>
      <c r="F88" s="2">
        <f t="shared" si="7"/>
        <v>0</v>
      </c>
      <c r="G88" s="2">
        <f t="shared" si="4"/>
        <v>0</v>
      </c>
      <c r="H88" s="2">
        <f t="shared" si="5"/>
        <v>0</v>
      </c>
      <c r="I88" s="2">
        <f t="shared" si="6"/>
        <v>1</v>
      </c>
      <c r="J88" s="2">
        <v>100</v>
      </c>
      <c r="K88" s="2" t="s">
        <v>49</v>
      </c>
      <c r="L88" s="2">
        <v>25</v>
      </c>
      <c r="M88" t="str" cm="1">
        <f t="array" ref="M88">_xlfn.IFS(L88&lt;=14,"Short",L88&lt;=30,"Medium",L88&lt;=45,"Long",L88&lt;=60,"Very Long")</f>
        <v>Medium</v>
      </c>
      <c r="N88" s="2" t="s">
        <v>13</v>
      </c>
      <c r="O88" s="3">
        <v>5.6</v>
      </c>
    </row>
    <row r="89" spans="1:15" x14ac:dyDescent="0.25">
      <c r="A89" s="4" t="s">
        <v>142</v>
      </c>
      <c r="B89" s="5">
        <v>21</v>
      </c>
      <c r="C89" t="str" cm="1">
        <f t="array" ref="C89">_xlfn.IFS(B89&lt;=30,"Young",B89&lt;=50,"Middle-aged",B89&gt;50,"Older")</f>
        <v>Young</v>
      </c>
      <c r="D89" s="5" t="s">
        <v>19</v>
      </c>
      <c r="E89" s="5" t="s">
        <v>11</v>
      </c>
      <c r="F89" s="5">
        <f t="shared" si="7"/>
        <v>0</v>
      </c>
      <c r="G89" s="5">
        <f t="shared" si="4"/>
        <v>0</v>
      </c>
      <c r="H89" s="5">
        <f t="shared" si="5"/>
        <v>0</v>
      </c>
      <c r="I89" s="5">
        <f t="shared" si="6"/>
        <v>0</v>
      </c>
      <c r="J89" s="5">
        <v>850</v>
      </c>
      <c r="K89" s="5" t="s">
        <v>12</v>
      </c>
      <c r="L89" s="5">
        <v>39</v>
      </c>
      <c r="M89" t="str" cm="1">
        <f t="array" ref="M89">_xlfn.IFS(L89&lt;=14,"Short",L89&lt;=30,"Medium",L89&lt;=45,"Long",L89&lt;=60,"Very Long")</f>
        <v>Long</v>
      </c>
      <c r="N89" s="5" t="s">
        <v>120</v>
      </c>
      <c r="O89" s="6">
        <v>6</v>
      </c>
    </row>
    <row r="90" spans="1:15" x14ac:dyDescent="0.25">
      <c r="A90" s="1" t="s">
        <v>143</v>
      </c>
      <c r="B90" s="2">
        <v>19</v>
      </c>
      <c r="C90" t="str" cm="1">
        <f t="array" ref="C90">_xlfn.IFS(B90&lt;=30,"Young",B90&lt;=50,"Middle-aged",B90&gt;50,"Older")</f>
        <v>Young</v>
      </c>
      <c r="D90" s="2" t="s">
        <v>19</v>
      </c>
      <c r="E90" s="2" t="s">
        <v>11</v>
      </c>
      <c r="F90" s="2">
        <f t="shared" si="7"/>
        <v>0</v>
      </c>
      <c r="G90" s="2">
        <f t="shared" si="4"/>
        <v>0</v>
      </c>
      <c r="H90" s="2">
        <f t="shared" si="5"/>
        <v>0</v>
      </c>
      <c r="I90" s="2">
        <f t="shared" si="6"/>
        <v>0</v>
      </c>
      <c r="J90" s="2">
        <v>500</v>
      </c>
      <c r="K90" s="2" t="s">
        <v>12</v>
      </c>
      <c r="L90" s="2">
        <v>36</v>
      </c>
      <c r="M90" t="str" cm="1">
        <f t="array" ref="M90">_xlfn.IFS(L90&lt;=14,"Short",L90&lt;=30,"Medium",L90&lt;=45,"Long",L90&lt;=60,"Very Long")</f>
        <v>Long</v>
      </c>
      <c r="N90" s="2" t="s">
        <v>13</v>
      </c>
      <c r="O90" s="3">
        <v>6.1</v>
      </c>
    </row>
    <row r="91" spans="1:15" x14ac:dyDescent="0.25">
      <c r="A91" s="4" t="s">
        <v>144</v>
      </c>
      <c r="B91" s="5">
        <v>79</v>
      </c>
      <c r="C91" t="str" cm="1">
        <f t="array" ref="C91">_xlfn.IFS(B91&lt;=30,"Young",B91&lt;=50,"Middle-aged",B91&gt;50,"Older")</f>
        <v>Older</v>
      </c>
      <c r="D91" s="5" t="s">
        <v>19</v>
      </c>
      <c r="E91" s="5" t="s">
        <v>20</v>
      </c>
      <c r="F91" s="5">
        <f t="shared" si="7"/>
        <v>0</v>
      </c>
      <c r="G91" s="5">
        <f t="shared" si="4"/>
        <v>1</v>
      </c>
      <c r="H91" s="5">
        <f t="shared" si="5"/>
        <v>0</v>
      </c>
      <c r="I91" s="5">
        <f t="shared" si="6"/>
        <v>0</v>
      </c>
      <c r="J91" s="5">
        <v>850</v>
      </c>
      <c r="K91" s="5" t="s">
        <v>55</v>
      </c>
      <c r="L91" s="5">
        <v>34</v>
      </c>
      <c r="M91" t="str" cm="1">
        <f t="array" ref="M91">_xlfn.IFS(L91&lt;=14,"Short",L91&lt;=30,"Medium",L91&lt;=45,"Long",L91&lt;=60,"Very Long")</f>
        <v>Long</v>
      </c>
      <c r="N91" s="5" t="s">
        <v>22</v>
      </c>
      <c r="O91" s="6">
        <v>9.1</v>
      </c>
    </row>
    <row r="92" spans="1:15" x14ac:dyDescent="0.25">
      <c r="A92" s="1" t="s">
        <v>145</v>
      </c>
      <c r="B92" s="2">
        <v>23</v>
      </c>
      <c r="C92" t="str" cm="1">
        <f t="array" ref="C92">_xlfn.IFS(B92&lt;=30,"Young",B92&lt;=50,"Middle-aged",B92&gt;50,"Older")</f>
        <v>Young</v>
      </c>
      <c r="D92" s="2" t="s">
        <v>19</v>
      </c>
      <c r="E92" s="2" t="s">
        <v>11</v>
      </c>
      <c r="F92" s="2">
        <f t="shared" si="7"/>
        <v>0</v>
      </c>
      <c r="G92" s="2">
        <f t="shared" si="4"/>
        <v>0</v>
      </c>
      <c r="H92" s="2">
        <f t="shared" si="5"/>
        <v>0</v>
      </c>
      <c r="I92" s="2">
        <f t="shared" si="6"/>
        <v>0</v>
      </c>
      <c r="J92" s="2">
        <v>50</v>
      </c>
      <c r="K92" s="2" t="s">
        <v>12</v>
      </c>
      <c r="L92" s="2">
        <v>59</v>
      </c>
      <c r="M92" t="str" cm="1">
        <f t="array" ref="M92">_xlfn.IFS(L92&lt;=14,"Short",L92&lt;=30,"Medium",L92&lt;=45,"Long",L92&lt;=60,"Very Long")</f>
        <v>Very Long</v>
      </c>
      <c r="N92" s="2" t="s">
        <v>13</v>
      </c>
      <c r="O92" s="3">
        <v>3.8</v>
      </c>
    </row>
    <row r="93" spans="1:15" x14ac:dyDescent="0.25">
      <c r="A93" s="4" t="s">
        <v>146</v>
      </c>
      <c r="B93" s="5">
        <v>71</v>
      </c>
      <c r="C93" t="str" cm="1">
        <f t="array" ref="C93">_xlfn.IFS(B93&lt;=30,"Young",B93&lt;=50,"Middle-aged",B93&gt;50,"Older")</f>
        <v>Older</v>
      </c>
      <c r="D93" s="5" t="s">
        <v>19</v>
      </c>
      <c r="E93" s="5" t="s">
        <v>24</v>
      </c>
      <c r="F93" s="5">
        <f t="shared" si="7"/>
        <v>0</v>
      </c>
      <c r="G93" s="5">
        <f t="shared" si="4"/>
        <v>0</v>
      </c>
      <c r="H93" s="5">
        <f t="shared" si="5"/>
        <v>1</v>
      </c>
      <c r="I93" s="5">
        <f t="shared" si="6"/>
        <v>0</v>
      </c>
      <c r="J93" s="5">
        <v>850</v>
      </c>
      <c r="K93" s="5" t="s">
        <v>59</v>
      </c>
      <c r="L93" s="5">
        <v>43</v>
      </c>
      <c r="M93" t="str" cm="1">
        <f t="array" ref="M93">_xlfn.IFS(L93&lt;=14,"Short",L93&lt;=30,"Medium",L93&lt;=45,"Long",L93&lt;=60,"Very Long")</f>
        <v>Long</v>
      </c>
      <c r="N93" s="5" t="s">
        <v>74</v>
      </c>
      <c r="O93" s="6">
        <v>10</v>
      </c>
    </row>
    <row r="94" spans="1:15" x14ac:dyDescent="0.25">
      <c r="A94" s="1" t="s">
        <v>147</v>
      </c>
      <c r="B94" s="2">
        <v>59</v>
      </c>
      <c r="C94" t="str" cm="1">
        <f t="array" ref="C94">_xlfn.IFS(B94&lt;=30,"Young",B94&lt;=50,"Middle-aged",B94&gt;50,"Older")</f>
        <v>Older</v>
      </c>
      <c r="D94" s="2" t="s">
        <v>19</v>
      </c>
      <c r="E94" s="2" t="s">
        <v>20</v>
      </c>
      <c r="F94" s="2">
        <f t="shared" si="7"/>
        <v>0</v>
      </c>
      <c r="G94" s="2">
        <f t="shared" si="4"/>
        <v>1</v>
      </c>
      <c r="H94" s="2">
        <f t="shared" si="5"/>
        <v>0</v>
      </c>
      <c r="I94" s="2">
        <f t="shared" si="6"/>
        <v>0</v>
      </c>
      <c r="J94" s="2">
        <v>100</v>
      </c>
      <c r="K94" s="2" t="s">
        <v>55</v>
      </c>
      <c r="L94" s="2">
        <v>53</v>
      </c>
      <c r="M94" t="str" cm="1">
        <f t="array" ref="M94">_xlfn.IFS(L94&lt;=14,"Short",L94&lt;=30,"Medium",L94&lt;=45,"Long",L94&lt;=60,"Very Long")</f>
        <v>Very Long</v>
      </c>
      <c r="N94" s="2" t="s">
        <v>148</v>
      </c>
      <c r="O94" s="3">
        <v>8.6</v>
      </c>
    </row>
    <row r="95" spans="1:15" x14ac:dyDescent="0.25">
      <c r="A95" s="4" t="s">
        <v>149</v>
      </c>
      <c r="B95" s="5">
        <v>21</v>
      </c>
      <c r="C95" t="str" cm="1">
        <f t="array" ref="C95">_xlfn.IFS(B95&lt;=30,"Young",B95&lt;=50,"Middle-aged",B95&gt;50,"Older")</f>
        <v>Young</v>
      </c>
      <c r="D95" s="5" t="s">
        <v>19</v>
      </c>
      <c r="E95" s="5" t="s">
        <v>24</v>
      </c>
      <c r="F95" s="5">
        <f t="shared" si="7"/>
        <v>0</v>
      </c>
      <c r="G95" s="5">
        <f t="shared" si="4"/>
        <v>0</v>
      </c>
      <c r="H95" s="5">
        <f t="shared" si="5"/>
        <v>1</v>
      </c>
      <c r="I95" s="5">
        <f t="shared" si="6"/>
        <v>0</v>
      </c>
      <c r="J95" s="5">
        <v>100</v>
      </c>
      <c r="K95" s="5" t="s">
        <v>59</v>
      </c>
      <c r="L95" s="5">
        <v>16</v>
      </c>
      <c r="M95" t="str" cm="1">
        <f t="array" ref="M95">_xlfn.IFS(L95&lt;=14,"Short",L95&lt;=30,"Medium",L95&lt;=45,"Long",L95&lt;=60,"Very Long")</f>
        <v>Medium</v>
      </c>
      <c r="N95" s="5" t="s">
        <v>150</v>
      </c>
      <c r="O95" s="6">
        <v>7.3</v>
      </c>
    </row>
    <row r="96" spans="1:15" x14ac:dyDescent="0.25">
      <c r="A96" s="1" t="s">
        <v>151</v>
      </c>
      <c r="B96" s="2">
        <v>71</v>
      </c>
      <c r="C96" t="str" cm="1">
        <f t="array" ref="C96">_xlfn.IFS(B96&lt;=30,"Young",B96&lt;=50,"Middle-aged",B96&gt;50,"Older")</f>
        <v>Older</v>
      </c>
      <c r="D96" s="2" t="s">
        <v>10</v>
      </c>
      <c r="E96" s="2" t="s">
        <v>15</v>
      </c>
      <c r="F96" s="2">
        <f t="shared" si="7"/>
        <v>1</v>
      </c>
      <c r="G96" s="2">
        <f t="shared" si="4"/>
        <v>0</v>
      </c>
      <c r="H96" s="2">
        <f t="shared" si="5"/>
        <v>0</v>
      </c>
      <c r="I96" s="2">
        <f t="shared" si="6"/>
        <v>0</v>
      </c>
      <c r="J96" s="2">
        <v>50</v>
      </c>
      <c r="K96" s="2" t="s">
        <v>44</v>
      </c>
      <c r="L96" s="2">
        <v>45</v>
      </c>
      <c r="M96" t="str" cm="1">
        <f t="array" ref="M96">_xlfn.IFS(L96&lt;=14,"Short",L96&lt;=30,"Medium",L96&lt;=45,"Long",L96&lt;=60,"Very Long")</f>
        <v>Long</v>
      </c>
      <c r="N96" s="2" t="s">
        <v>95</v>
      </c>
      <c r="O96" s="3">
        <v>6.9</v>
      </c>
    </row>
    <row r="97" spans="1:15" x14ac:dyDescent="0.25">
      <c r="A97" s="4" t="s">
        <v>152</v>
      </c>
      <c r="B97" s="5">
        <v>46</v>
      </c>
      <c r="C97" t="str" cm="1">
        <f t="array" ref="C97">_xlfn.IFS(B97&lt;=30,"Young",B97&lt;=50,"Middle-aged",B97&gt;50,"Older")</f>
        <v>Middle-aged</v>
      </c>
      <c r="D97" s="5" t="s">
        <v>10</v>
      </c>
      <c r="E97" s="5" t="s">
        <v>24</v>
      </c>
      <c r="F97" s="5">
        <f t="shared" si="7"/>
        <v>0</v>
      </c>
      <c r="G97" s="5">
        <f t="shared" si="4"/>
        <v>0</v>
      </c>
      <c r="H97" s="5">
        <f t="shared" si="5"/>
        <v>1</v>
      </c>
      <c r="I97" s="5">
        <f t="shared" si="6"/>
        <v>0</v>
      </c>
      <c r="J97" s="5">
        <v>250</v>
      </c>
      <c r="K97" s="5" t="s">
        <v>39</v>
      </c>
      <c r="L97" s="5">
        <v>51</v>
      </c>
      <c r="M97" t="str" cm="1">
        <f t="array" ref="M97">_xlfn.IFS(L97&lt;=14,"Short",L97&lt;=30,"Medium",L97&lt;=45,"Long",L97&lt;=60,"Very Long")</f>
        <v>Very Long</v>
      </c>
      <c r="N97" s="5" t="s">
        <v>85</v>
      </c>
      <c r="O97" s="6">
        <v>7.4</v>
      </c>
    </row>
    <row r="98" spans="1:15" x14ac:dyDescent="0.25">
      <c r="A98" s="1" t="s">
        <v>153</v>
      </c>
      <c r="B98" s="2">
        <v>35</v>
      </c>
      <c r="C98" t="str" cm="1">
        <f t="array" ref="C98">_xlfn.IFS(B98&lt;=30,"Young",B98&lt;=50,"Middle-aged",B98&gt;50,"Older")</f>
        <v>Middle-aged</v>
      </c>
      <c r="D98" s="2" t="s">
        <v>10</v>
      </c>
      <c r="E98" s="2" t="s">
        <v>15</v>
      </c>
      <c r="F98" s="2">
        <f t="shared" si="7"/>
        <v>1</v>
      </c>
      <c r="G98" s="2">
        <f t="shared" si="4"/>
        <v>0</v>
      </c>
      <c r="H98" s="2">
        <f t="shared" si="5"/>
        <v>0</v>
      </c>
      <c r="I98" s="2">
        <f t="shared" si="6"/>
        <v>0</v>
      </c>
      <c r="J98" s="2">
        <v>250</v>
      </c>
      <c r="K98" s="2" t="s">
        <v>44</v>
      </c>
      <c r="L98" s="2">
        <v>22</v>
      </c>
      <c r="M98" t="str" cm="1">
        <f t="array" ref="M98">_xlfn.IFS(L98&lt;=14,"Short",L98&lt;=30,"Medium",L98&lt;=45,"Long",L98&lt;=60,"Very Long")</f>
        <v>Medium</v>
      </c>
      <c r="N98" s="2" t="s">
        <v>95</v>
      </c>
      <c r="O98" s="3">
        <v>7.8</v>
      </c>
    </row>
    <row r="99" spans="1:15" x14ac:dyDescent="0.25">
      <c r="A99" s="4" t="s">
        <v>154</v>
      </c>
      <c r="B99" s="5">
        <v>43</v>
      </c>
      <c r="C99" t="str" cm="1">
        <f t="array" ref="C99">_xlfn.IFS(B99&lt;=30,"Young",B99&lt;=50,"Middle-aged",B99&gt;50,"Older")</f>
        <v>Middle-aged</v>
      </c>
      <c r="D99" s="5" t="s">
        <v>10</v>
      </c>
      <c r="E99" s="5" t="s">
        <v>15</v>
      </c>
      <c r="F99" s="5">
        <f t="shared" si="7"/>
        <v>1</v>
      </c>
      <c r="G99" s="5">
        <f t="shared" si="4"/>
        <v>0</v>
      </c>
      <c r="H99" s="5">
        <f t="shared" si="5"/>
        <v>0</v>
      </c>
      <c r="I99" s="5">
        <f t="shared" si="6"/>
        <v>0</v>
      </c>
      <c r="J99" s="5">
        <v>250</v>
      </c>
      <c r="K99" s="5" t="s">
        <v>63</v>
      </c>
      <c r="L99" s="5">
        <v>25</v>
      </c>
      <c r="M99" t="str" cm="1">
        <f t="array" ref="M99">_xlfn.IFS(L99&lt;=14,"Short",L99&lt;=30,"Medium",L99&lt;=45,"Long",L99&lt;=60,"Very Long")</f>
        <v>Medium</v>
      </c>
      <c r="N99" s="5" t="s">
        <v>41</v>
      </c>
      <c r="O99" s="6">
        <v>8</v>
      </c>
    </row>
    <row r="100" spans="1:15" x14ac:dyDescent="0.25">
      <c r="A100" s="1" t="s">
        <v>155</v>
      </c>
      <c r="B100" s="2">
        <v>61</v>
      </c>
      <c r="C100" t="str" cm="1">
        <f t="array" ref="C100">_xlfn.IFS(B100&lt;=30,"Young",B100&lt;=50,"Middle-aged",B100&gt;50,"Older")</f>
        <v>Older</v>
      </c>
      <c r="D100" s="2" t="s">
        <v>19</v>
      </c>
      <c r="E100" s="2" t="s">
        <v>24</v>
      </c>
      <c r="F100" s="2">
        <f t="shared" si="7"/>
        <v>0</v>
      </c>
      <c r="G100" s="2">
        <f t="shared" si="4"/>
        <v>0</v>
      </c>
      <c r="H100" s="2">
        <f t="shared" si="5"/>
        <v>1</v>
      </c>
      <c r="I100" s="2">
        <f t="shared" si="6"/>
        <v>0</v>
      </c>
      <c r="J100" s="2">
        <v>500</v>
      </c>
      <c r="K100" s="2" t="s">
        <v>25</v>
      </c>
      <c r="L100" s="2">
        <v>17</v>
      </c>
      <c r="M100" t="str" cm="1">
        <f t="array" ref="M100">_xlfn.IFS(L100&lt;=14,"Short",L100&lt;=30,"Medium",L100&lt;=45,"Long",L100&lt;=60,"Very Long")</f>
        <v>Medium</v>
      </c>
      <c r="N100" s="2" t="s">
        <v>70</v>
      </c>
      <c r="O100" s="3">
        <v>7.8</v>
      </c>
    </row>
    <row r="101" spans="1:15" x14ac:dyDescent="0.25">
      <c r="A101" s="4" t="s">
        <v>156</v>
      </c>
      <c r="B101" s="5">
        <v>51</v>
      </c>
      <c r="C101" t="str" cm="1">
        <f t="array" ref="C101">_xlfn.IFS(B101&lt;=30,"Young",B101&lt;=50,"Middle-aged",B101&gt;50,"Older")</f>
        <v>Older</v>
      </c>
      <c r="D101" s="5" t="s">
        <v>19</v>
      </c>
      <c r="E101" s="5" t="s">
        <v>20</v>
      </c>
      <c r="F101" s="5">
        <f t="shared" si="7"/>
        <v>0</v>
      </c>
      <c r="G101" s="5">
        <f t="shared" si="4"/>
        <v>1</v>
      </c>
      <c r="H101" s="5">
        <f t="shared" si="5"/>
        <v>0</v>
      </c>
      <c r="I101" s="5">
        <f t="shared" si="6"/>
        <v>0</v>
      </c>
      <c r="J101" s="5">
        <v>850</v>
      </c>
      <c r="K101" s="5" t="s">
        <v>21</v>
      </c>
      <c r="L101" s="5">
        <v>25</v>
      </c>
      <c r="M101" t="str" cm="1">
        <f t="array" ref="M101">_xlfn.IFS(L101&lt;=14,"Short",L101&lt;=30,"Medium",L101&lt;=45,"Long",L101&lt;=60,"Very Long")</f>
        <v>Medium</v>
      </c>
      <c r="N101" s="5" t="s">
        <v>28</v>
      </c>
      <c r="O101" s="6">
        <v>7.1</v>
      </c>
    </row>
    <row r="102" spans="1:15" x14ac:dyDescent="0.25">
      <c r="A102" s="1" t="s">
        <v>157</v>
      </c>
      <c r="B102" s="2">
        <v>27</v>
      </c>
      <c r="C102" t="str" cm="1">
        <f t="array" ref="C102">_xlfn.IFS(B102&lt;=30,"Young",B102&lt;=50,"Middle-aged",B102&gt;50,"Older")</f>
        <v>Young</v>
      </c>
      <c r="D102" s="2" t="s">
        <v>10</v>
      </c>
      <c r="E102" s="2" t="s">
        <v>11</v>
      </c>
      <c r="F102" s="2">
        <f t="shared" si="7"/>
        <v>0</v>
      </c>
      <c r="G102" s="2">
        <f t="shared" si="4"/>
        <v>0</v>
      </c>
      <c r="H102" s="2">
        <f t="shared" si="5"/>
        <v>0</v>
      </c>
      <c r="I102" s="2">
        <f t="shared" si="6"/>
        <v>0</v>
      </c>
      <c r="J102" s="2">
        <v>250</v>
      </c>
      <c r="K102" s="2" t="s">
        <v>84</v>
      </c>
      <c r="L102" s="2">
        <v>12</v>
      </c>
      <c r="M102" t="str" cm="1">
        <f t="array" ref="M102">_xlfn.IFS(L102&lt;=14,"Short",L102&lt;=30,"Medium",L102&lt;=45,"Long",L102&lt;=60,"Very Long")</f>
        <v>Short</v>
      </c>
      <c r="N102" s="2" t="s">
        <v>93</v>
      </c>
      <c r="O102" s="3">
        <v>6.7</v>
      </c>
    </row>
    <row r="103" spans="1:15" x14ac:dyDescent="0.25">
      <c r="A103" s="4" t="s">
        <v>158</v>
      </c>
      <c r="B103" s="5">
        <v>79</v>
      </c>
      <c r="C103" t="str" cm="1">
        <f t="array" ref="C103">_xlfn.IFS(B103&lt;=30,"Young",B103&lt;=50,"Middle-aged",B103&gt;50,"Older")</f>
        <v>Older</v>
      </c>
      <c r="D103" s="5" t="s">
        <v>19</v>
      </c>
      <c r="E103" s="5" t="s">
        <v>11</v>
      </c>
      <c r="F103" s="5">
        <f t="shared" si="7"/>
        <v>0</v>
      </c>
      <c r="G103" s="5">
        <f t="shared" si="4"/>
        <v>0</v>
      </c>
      <c r="H103" s="5">
        <f t="shared" si="5"/>
        <v>0</v>
      </c>
      <c r="I103" s="5">
        <f t="shared" si="6"/>
        <v>0</v>
      </c>
      <c r="J103" s="5">
        <v>850</v>
      </c>
      <c r="K103" s="5" t="s">
        <v>84</v>
      </c>
      <c r="L103" s="5">
        <v>50</v>
      </c>
      <c r="M103" t="str" cm="1">
        <f t="array" ref="M103">_xlfn.IFS(L103&lt;=14,"Short",L103&lt;=30,"Medium",L103&lt;=45,"Long",L103&lt;=60,"Very Long")</f>
        <v>Very Long</v>
      </c>
      <c r="N103" s="5" t="s">
        <v>85</v>
      </c>
      <c r="O103" s="6">
        <v>6.8</v>
      </c>
    </row>
    <row r="104" spans="1:15" x14ac:dyDescent="0.25">
      <c r="A104" s="1" t="s">
        <v>159</v>
      </c>
      <c r="B104" s="2">
        <v>53</v>
      </c>
      <c r="C104" t="str" cm="1">
        <f t="array" ref="C104">_xlfn.IFS(B104&lt;=30,"Young",B104&lt;=50,"Middle-aged",B104&gt;50,"Older")</f>
        <v>Older</v>
      </c>
      <c r="D104" s="2" t="s">
        <v>10</v>
      </c>
      <c r="E104" s="2" t="s">
        <v>15</v>
      </c>
      <c r="F104" s="2">
        <f t="shared" si="7"/>
        <v>1</v>
      </c>
      <c r="G104" s="2">
        <f t="shared" si="4"/>
        <v>0</v>
      </c>
      <c r="H104" s="2">
        <f t="shared" si="5"/>
        <v>0</v>
      </c>
      <c r="I104" s="2">
        <f t="shared" si="6"/>
        <v>0</v>
      </c>
      <c r="J104" s="2">
        <v>500</v>
      </c>
      <c r="K104" s="2" t="s">
        <v>44</v>
      </c>
      <c r="L104" s="2">
        <v>44</v>
      </c>
      <c r="M104" t="str" cm="1">
        <f t="array" ref="M104">_xlfn.IFS(L104&lt;=14,"Short",L104&lt;=30,"Medium",L104&lt;=45,"Long",L104&lt;=60,"Very Long")</f>
        <v>Long</v>
      </c>
      <c r="N104" s="2" t="s">
        <v>95</v>
      </c>
      <c r="O104" s="3">
        <v>6.7</v>
      </c>
    </row>
    <row r="105" spans="1:15" x14ac:dyDescent="0.25">
      <c r="A105" s="4" t="s">
        <v>160</v>
      </c>
      <c r="B105" s="5">
        <v>31</v>
      </c>
      <c r="C105" t="str" cm="1">
        <f t="array" ref="C105">_xlfn.IFS(B105&lt;=30,"Young",B105&lt;=50,"Middle-aged",B105&gt;50,"Older")</f>
        <v>Middle-aged</v>
      </c>
      <c r="D105" s="5" t="s">
        <v>19</v>
      </c>
      <c r="E105" s="5" t="s">
        <v>15</v>
      </c>
      <c r="F105" s="5">
        <f t="shared" si="7"/>
        <v>1</v>
      </c>
      <c r="G105" s="5">
        <f t="shared" si="4"/>
        <v>0</v>
      </c>
      <c r="H105" s="5">
        <f t="shared" si="5"/>
        <v>0</v>
      </c>
      <c r="I105" s="5">
        <f t="shared" si="6"/>
        <v>0</v>
      </c>
      <c r="J105" s="5">
        <v>50</v>
      </c>
      <c r="K105" s="5" t="s">
        <v>63</v>
      </c>
      <c r="L105" s="5">
        <v>50</v>
      </c>
      <c r="M105" t="str" cm="1">
        <f t="array" ref="M105">_xlfn.IFS(L105&lt;=14,"Short",L105&lt;=30,"Medium",L105&lt;=45,"Long",L105&lt;=60,"Very Long")</f>
        <v>Very Long</v>
      </c>
      <c r="N105" s="5" t="s">
        <v>110</v>
      </c>
      <c r="O105" s="6">
        <v>8.6999999999999993</v>
      </c>
    </row>
    <row r="106" spans="1:15" x14ac:dyDescent="0.25">
      <c r="A106" s="1" t="s">
        <v>161</v>
      </c>
      <c r="B106" s="2">
        <v>48</v>
      </c>
      <c r="C106" t="str" cm="1">
        <f t="array" ref="C106">_xlfn.IFS(B106&lt;=30,"Young",B106&lt;=50,"Middle-aged",B106&gt;50,"Older")</f>
        <v>Middle-aged</v>
      </c>
      <c r="D106" s="2" t="s">
        <v>10</v>
      </c>
      <c r="E106" s="2" t="s">
        <v>20</v>
      </c>
      <c r="F106" s="2">
        <f t="shared" si="7"/>
        <v>0</v>
      </c>
      <c r="G106" s="2">
        <f t="shared" si="4"/>
        <v>1</v>
      </c>
      <c r="H106" s="2">
        <f t="shared" si="5"/>
        <v>0</v>
      </c>
      <c r="I106" s="2">
        <f t="shared" si="6"/>
        <v>0</v>
      </c>
      <c r="J106" s="2">
        <v>850</v>
      </c>
      <c r="K106" s="2" t="s">
        <v>55</v>
      </c>
      <c r="L106" s="2">
        <v>11</v>
      </c>
      <c r="M106" t="str" cm="1">
        <f t="array" ref="M106">_xlfn.IFS(L106&lt;=14,"Short",L106&lt;=30,"Medium",L106&lt;=45,"Long",L106&lt;=60,"Very Long")</f>
        <v>Short</v>
      </c>
      <c r="N106" s="2" t="s">
        <v>22</v>
      </c>
      <c r="O106" s="3">
        <v>7.9</v>
      </c>
    </row>
    <row r="107" spans="1:15" x14ac:dyDescent="0.25">
      <c r="A107" s="4" t="s">
        <v>162</v>
      </c>
      <c r="B107" s="5">
        <v>65</v>
      </c>
      <c r="C107" t="str" cm="1">
        <f t="array" ref="C107">_xlfn.IFS(B107&lt;=30,"Young",B107&lt;=50,"Middle-aged",B107&gt;50,"Older")</f>
        <v>Older</v>
      </c>
      <c r="D107" s="5" t="s">
        <v>19</v>
      </c>
      <c r="E107" s="5" t="s">
        <v>33</v>
      </c>
      <c r="F107" s="5">
        <f t="shared" si="7"/>
        <v>0</v>
      </c>
      <c r="G107" s="5">
        <f t="shared" si="4"/>
        <v>0</v>
      </c>
      <c r="H107" s="5">
        <f t="shared" si="5"/>
        <v>0</v>
      </c>
      <c r="I107" s="5">
        <f t="shared" si="6"/>
        <v>1</v>
      </c>
      <c r="J107" s="5">
        <v>250</v>
      </c>
      <c r="K107" s="5" t="s">
        <v>49</v>
      </c>
      <c r="L107" s="5">
        <v>27</v>
      </c>
      <c r="M107" t="str" cm="1">
        <f t="array" ref="M107">_xlfn.IFS(L107&lt;=14,"Short",L107&lt;=30,"Medium",L107&lt;=45,"Long",L107&lt;=60,"Very Long")</f>
        <v>Medium</v>
      </c>
      <c r="N107" s="5" t="s">
        <v>13</v>
      </c>
      <c r="O107" s="6">
        <v>2.6</v>
      </c>
    </row>
    <row r="108" spans="1:15" x14ac:dyDescent="0.25">
      <c r="A108" s="1" t="s">
        <v>163</v>
      </c>
      <c r="B108" s="2">
        <v>32</v>
      </c>
      <c r="C108" t="str" cm="1">
        <f t="array" ref="C108">_xlfn.IFS(B108&lt;=30,"Young",B108&lt;=50,"Middle-aged",B108&gt;50,"Older")</f>
        <v>Middle-aged</v>
      </c>
      <c r="D108" s="2" t="s">
        <v>19</v>
      </c>
      <c r="E108" s="2" t="s">
        <v>24</v>
      </c>
      <c r="F108" s="2">
        <f t="shared" si="7"/>
        <v>0</v>
      </c>
      <c r="G108" s="2">
        <f t="shared" si="4"/>
        <v>0</v>
      </c>
      <c r="H108" s="2">
        <f t="shared" si="5"/>
        <v>1</v>
      </c>
      <c r="I108" s="2">
        <f t="shared" si="6"/>
        <v>0</v>
      </c>
      <c r="J108" s="2">
        <v>100</v>
      </c>
      <c r="K108" s="2" t="s">
        <v>59</v>
      </c>
      <c r="L108" s="2">
        <v>48</v>
      </c>
      <c r="M108" t="str" cm="1">
        <f t="array" ref="M108">_xlfn.IFS(L108&lt;=14,"Short",L108&lt;=30,"Medium",L108&lt;=45,"Long",L108&lt;=60,"Very Long")</f>
        <v>Very Long</v>
      </c>
      <c r="N108" s="2" t="s">
        <v>60</v>
      </c>
      <c r="O108" s="3">
        <v>8</v>
      </c>
    </row>
    <row r="109" spans="1:15" x14ac:dyDescent="0.25">
      <c r="A109" s="4" t="s">
        <v>164</v>
      </c>
      <c r="B109" s="5">
        <v>25</v>
      </c>
      <c r="C109" t="str" cm="1">
        <f t="array" ref="C109">_xlfn.IFS(B109&lt;=30,"Young",B109&lt;=50,"Middle-aged",B109&gt;50,"Older")</f>
        <v>Young</v>
      </c>
      <c r="D109" s="5" t="s">
        <v>10</v>
      </c>
      <c r="E109" s="5" t="s">
        <v>15</v>
      </c>
      <c r="F109" s="5">
        <f t="shared" si="7"/>
        <v>1</v>
      </c>
      <c r="G109" s="5">
        <f t="shared" si="4"/>
        <v>0</v>
      </c>
      <c r="H109" s="5">
        <f t="shared" si="5"/>
        <v>0</v>
      </c>
      <c r="I109" s="5">
        <f t="shared" si="6"/>
        <v>0</v>
      </c>
      <c r="J109" s="5">
        <v>100</v>
      </c>
      <c r="K109" s="5" t="s">
        <v>63</v>
      </c>
      <c r="L109" s="5">
        <v>36</v>
      </c>
      <c r="M109" t="str" cm="1">
        <f t="array" ref="M109">_xlfn.IFS(L109&lt;=14,"Short",L109&lt;=30,"Medium",L109&lt;=45,"Long",L109&lt;=60,"Very Long")</f>
        <v>Long</v>
      </c>
      <c r="N109" s="5" t="s">
        <v>64</v>
      </c>
      <c r="O109" s="6">
        <v>7.3</v>
      </c>
    </row>
    <row r="110" spans="1:15" x14ac:dyDescent="0.25">
      <c r="A110" s="1" t="s">
        <v>165</v>
      </c>
      <c r="B110" s="2">
        <v>31</v>
      </c>
      <c r="C110" t="str" cm="1">
        <f t="array" ref="C110">_xlfn.IFS(B110&lt;=30,"Young",B110&lt;=50,"Middle-aged",B110&gt;50,"Older")</f>
        <v>Middle-aged</v>
      </c>
      <c r="D110" s="2" t="s">
        <v>19</v>
      </c>
      <c r="E110" s="2" t="s">
        <v>11</v>
      </c>
      <c r="F110" s="2">
        <f t="shared" si="7"/>
        <v>0</v>
      </c>
      <c r="G110" s="2">
        <f t="shared" si="4"/>
        <v>0</v>
      </c>
      <c r="H110" s="2">
        <f t="shared" si="5"/>
        <v>0</v>
      </c>
      <c r="I110" s="2">
        <f t="shared" si="6"/>
        <v>0</v>
      </c>
      <c r="J110" s="2">
        <v>850</v>
      </c>
      <c r="K110" s="2" t="s">
        <v>84</v>
      </c>
      <c r="L110" s="2">
        <v>15</v>
      </c>
      <c r="M110" t="str" cm="1">
        <f t="array" ref="M110">_xlfn.IFS(L110&lt;=14,"Short",L110&lt;=30,"Medium",L110&lt;=45,"Long",L110&lt;=60,"Very Long")</f>
        <v>Medium</v>
      </c>
      <c r="N110" s="2" t="s">
        <v>97</v>
      </c>
      <c r="O110" s="3">
        <v>7</v>
      </c>
    </row>
    <row r="111" spans="1:15" x14ac:dyDescent="0.25">
      <c r="A111" s="4" t="s">
        <v>166</v>
      </c>
      <c r="B111" s="5">
        <v>40</v>
      </c>
      <c r="C111" t="str" cm="1">
        <f t="array" ref="C111">_xlfn.IFS(B111&lt;=30,"Young",B111&lt;=50,"Middle-aged",B111&gt;50,"Older")</f>
        <v>Middle-aged</v>
      </c>
      <c r="D111" s="5" t="s">
        <v>10</v>
      </c>
      <c r="E111" s="5" t="s">
        <v>20</v>
      </c>
      <c r="F111" s="5">
        <f t="shared" si="7"/>
        <v>0</v>
      </c>
      <c r="G111" s="5">
        <f t="shared" si="4"/>
        <v>1</v>
      </c>
      <c r="H111" s="5">
        <f t="shared" si="5"/>
        <v>0</v>
      </c>
      <c r="I111" s="5">
        <f t="shared" si="6"/>
        <v>0</v>
      </c>
      <c r="J111" s="5">
        <v>100</v>
      </c>
      <c r="K111" s="5" t="s">
        <v>21</v>
      </c>
      <c r="L111" s="5">
        <v>26</v>
      </c>
      <c r="M111" t="str" cm="1">
        <f t="array" ref="M111">_xlfn.IFS(L111&lt;=14,"Short",L111&lt;=30,"Medium",L111&lt;=45,"Long",L111&lt;=60,"Very Long")</f>
        <v>Medium</v>
      </c>
      <c r="N111" s="5" t="s">
        <v>28</v>
      </c>
      <c r="O111" s="6">
        <v>6.4</v>
      </c>
    </row>
    <row r="112" spans="1:15" x14ac:dyDescent="0.25">
      <c r="A112" s="1" t="s">
        <v>167</v>
      </c>
      <c r="B112" s="2">
        <v>77</v>
      </c>
      <c r="C112" t="str" cm="1">
        <f t="array" ref="C112">_xlfn.IFS(B112&lt;=30,"Young",B112&lt;=50,"Middle-aged",B112&gt;50,"Older")</f>
        <v>Older</v>
      </c>
      <c r="D112" s="2" t="s">
        <v>10</v>
      </c>
      <c r="E112" s="2" t="s">
        <v>24</v>
      </c>
      <c r="F112" s="2">
        <f t="shared" si="7"/>
        <v>0</v>
      </c>
      <c r="G112" s="2">
        <f t="shared" si="4"/>
        <v>0</v>
      </c>
      <c r="H112" s="2">
        <f t="shared" si="5"/>
        <v>1</v>
      </c>
      <c r="I112" s="2">
        <f t="shared" si="6"/>
        <v>0</v>
      </c>
      <c r="J112" s="2">
        <v>500</v>
      </c>
      <c r="K112" s="2" t="s">
        <v>59</v>
      </c>
      <c r="L112" s="2">
        <v>26</v>
      </c>
      <c r="M112" t="str" cm="1">
        <f t="array" ref="M112">_xlfn.IFS(L112&lt;=14,"Short",L112&lt;=30,"Medium",L112&lt;=45,"Long",L112&lt;=60,"Very Long")</f>
        <v>Medium</v>
      </c>
      <c r="N112" s="2" t="s">
        <v>150</v>
      </c>
      <c r="O112" s="3">
        <v>8.6999999999999993</v>
      </c>
    </row>
    <row r="113" spans="1:15" x14ac:dyDescent="0.25">
      <c r="A113" s="4" t="s">
        <v>168</v>
      </c>
      <c r="B113" s="5">
        <v>74</v>
      </c>
      <c r="C113" t="str" cm="1">
        <f t="array" ref="C113">_xlfn.IFS(B113&lt;=30,"Young",B113&lt;=50,"Middle-aged",B113&gt;50,"Older")</f>
        <v>Older</v>
      </c>
      <c r="D113" s="5" t="s">
        <v>10</v>
      </c>
      <c r="E113" s="5" t="s">
        <v>20</v>
      </c>
      <c r="F113" s="5">
        <f t="shared" si="7"/>
        <v>0</v>
      </c>
      <c r="G113" s="5">
        <f t="shared" si="4"/>
        <v>1</v>
      </c>
      <c r="H113" s="5">
        <f t="shared" si="5"/>
        <v>0</v>
      </c>
      <c r="I113" s="5">
        <f t="shared" si="6"/>
        <v>0</v>
      </c>
      <c r="J113" s="5">
        <v>100</v>
      </c>
      <c r="K113" s="5" t="s">
        <v>21</v>
      </c>
      <c r="L113" s="5">
        <v>47</v>
      </c>
      <c r="M113" t="str" cm="1">
        <f t="array" ref="M113">_xlfn.IFS(L113&lt;=14,"Short",L113&lt;=30,"Medium",L113&lt;=45,"Long",L113&lt;=60,"Very Long")</f>
        <v>Very Long</v>
      </c>
      <c r="N113" s="5" t="s">
        <v>41</v>
      </c>
      <c r="O113" s="6">
        <v>8.4</v>
      </c>
    </row>
    <row r="114" spans="1:15" x14ac:dyDescent="0.25">
      <c r="A114" s="1" t="s">
        <v>169</v>
      </c>
      <c r="B114" s="2">
        <v>79</v>
      </c>
      <c r="C114" t="str" cm="1">
        <f t="array" ref="C114">_xlfn.IFS(B114&lt;=30,"Young",B114&lt;=50,"Middle-aged",B114&gt;50,"Older")</f>
        <v>Older</v>
      </c>
      <c r="D114" s="2" t="s">
        <v>10</v>
      </c>
      <c r="E114" s="2" t="s">
        <v>24</v>
      </c>
      <c r="F114" s="2">
        <f t="shared" si="7"/>
        <v>0</v>
      </c>
      <c r="G114" s="2">
        <f t="shared" si="4"/>
        <v>0</v>
      </c>
      <c r="H114" s="2">
        <f t="shared" si="5"/>
        <v>1</v>
      </c>
      <c r="I114" s="2">
        <f t="shared" si="6"/>
        <v>0</v>
      </c>
      <c r="J114" s="2">
        <v>850</v>
      </c>
      <c r="K114" s="2" t="s">
        <v>25</v>
      </c>
      <c r="L114" s="2">
        <v>29</v>
      </c>
      <c r="M114" t="str" cm="1">
        <f t="array" ref="M114">_xlfn.IFS(L114&lt;=14,"Short",L114&lt;=30,"Medium",L114&lt;=45,"Long",L114&lt;=60,"Very Long")</f>
        <v>Medium</v>
      </c>
      <c r="N114" s="2" t="s">
        <v>70</v>
      </c>
      <c r="O114" s="3">
        <v>5.8</v>
      </c>
    </row>
    <row r="115" spans="1:15" x14ac:dyDescent="0.25">
      <c r="A115" s="4" t="s">
        <v>170</v>
      </c>
      <c r="B115" s="5">
        <v>57</v>
      </c>
      <c r="C115" t="str" cm="1">
        <f t="array" ref="C115">_xlfn.IFS(B115&lt;=30,"Young",B115&lt;=50,"Middle-aged",B115&gt;50,"Older")</f>
        <v>Older</v>
      </c>
      <c r="D115" s="5" t="s">
        <v>19</v>
      </c>
      <c r="E115" s="5" t="s">
        <v>24</v>
      </c>
      <c r="F115" s="5">
        <f t="shared" si="7"/>
        <v>0</v>
      </c>
      <c r="G115" s="5">
        <f t="shared" si="4"/>
        <v>0</v>
      </c>
      <c r="H115" s="5">
        <f t="shared" si="5"/>
        <v>1</v>
      </c>
      <c r="I115" s="5">
        <f t="shared" si="6"/>
        <v>0</v>
      </c>
      <c r="J115" s="5">
        <v>250</v>
      </c>
      <c r="K115" s="5" t="s">
        <v>39</v>
      </c>
      <c r="L115" s="5">
        <v>26</v>
      </c>
      <c r="M115" t="str" cm="1">
        <f t="array" ref="M115">_xlfn.IFS(L115&lt;=14,"Short",L115&lt;=30,"Medium",L115&lt;=45,"Long",L115&lt;=60,"Very Long")</f>
        <v>Medium</v>
      </c>
      <c r="N115" s="5" t="s">
        <v>136</v>
      </c>
      <c r="O115" s="6">
        <v>7.6</v>
      </c>
    </row>
    <row r="116" spans="1:15" x14ac:dyDescent="0.25">
      <c r="A116" s="1" t="s">
        <v>171</v>
      </c>
      <c r="B116" s="2">
        <v>38</v>
      </c>
      <c r="C116" t="str" cm="1">
        <f t="array" ref="C116">_xlfn.IFS(B116&lt;=30,"Young",B116&lt;=50,"Middle-aged",B116&gt;50,"Older")</f>
        <v>Middle-aged</v>
      </c>
      <c r="D116" s="2" t="s">
        <v>19</v>
      </c>
      <c r="E116" s="2" t="s">
        <v>15</v>
      </c>
      <c r="F116" s="2">
        <f t="shared" si="7"/>
        <v>1</v>
      </c>
      <c r="G116" s="2">
        <f t="shared" si="4"/>
        <v>0</v>
      </c>
      <c r="H116" s="2">
        <f t="shared" si="5"/>
        <v>0</v>
      </c>
      <c r="I116" s="2">
        <f t="shared" si="6"/>
        <v>0</v>
      </c>
      <c r="J116" s="2">
        <v>50</v>
      </c>
      <c r="K116" s="2" t="s">
        <v>44</v>
      </c>
      <c r="L116" s="2">
        <v>32</v>
      </c>
      <c r="M116" t="str" cm="1">
        <f t="array" ref="M116">_xlfn.IFS(L116&lt;=14,"Short",L116&lt;=30,"Medium",L116&lt;=45,"Long",L116&lt;=60,"Very Long")</f>
        <v>Long</v>
      </c>
      <c r="N116" s="2" t="s">
        <v>30</v>
      </c>
      <c r="O116" s="3">
        <v>5.5</v>
      </c>
    </row>
    <row r="117" spans="1:15" x14ac:dyDescent="0.25">
      <c r="A117" s="4" t="s">
        <v>172</v>
      </c>
      <c r="B117" s="5">
        <v>33</v>
      </c>
      <c r="C117" t="str" cm="1">
        <f t="array" ref="C117">_xlfn.IFS(B117&lt;=30,"Young",B117&lt;=50,"Middle-aged",B117&gt;50,"Older")</f>
        <v>Middle-aged</v>
      </c>
      <c r="D117" s="5" t="s">
        <v>19</v>
      </c>
      <c r="E117" s="5" t="s">
        <v>20</v>
      </c>
      <c r="F117" s="5">
        <f t="shared" si="7"/>
        <v>0</v>
      </c>
      <c r="G117" s="5">
        <f t="shared" si="4"/>
        <v>1</v>
      </c>
      <c r="H117" s="5">
        <f t="shared" si="5"/>
        <v>0</v>
      </c>
      <c r="I117" s="5">
        <f t="shared" si="6"/>
        <v>0</v>
      </c>
      <c r="J117" s="5">
        <v>850</v>
      </c>
      <c r="K117" s="5" t="s">
        <v>37</v>
      </c>
      <c r="L117" s="5">
        <v>33</v>
      </c>
      <c r="M117" t="str" cm="1">
        <f t="array" ref="M117">_xlfn.IFS(L117&lt;=14,"Short",L117&lt;=30,"Medium",L117&lt;=45,"Long",L117&lt;=60,"Very Long")</f>
        <v>Long</v>
      </c>
      <c r="N117" s="5" t="s">
        <v>173</v>
      </c>
      <c r="O117" s="6">
        <v>4.9000000000000004</v>
      </c>
    </row>
    <row r="118" spans="1:15" x14ac:dyDescent="0.25">
      <c r="A118" s="1" t="s">
        <v>174</v>
      </c>
      <c r="B118" s="2">
        <v>62</v>
      </c>
      <c r="C118" t="str" cm="1">
        <f t="array" ref="C118">_xlfn.IFS(B118&lt;=30,"Young",B118&lt;=50,"Middle-aged",B118&gt;50,"Older")</f>
        <v>Older</v>
      </c>
      <c r="D118" s="2" t="s">
        <v>10</v>
      </c>
      <c r="E118" s="2" t="s">
        <v>20</v>
      </c>
      <c r="F118" s="2">
        <f t="shared" si="7"/>
        <v>0</v>
      </c>
      <c r="G118" s="2">
        <f t="shared" si="4"/>
        <v>1</v>
      </c>
      <c r="H118" s="2">
        <f t="shared" si="5"/>
        <v>0</v>
      </c>
      <c r="I118" s="2">
        <f t="shared" si="6"/>
        <v>0</v>
      </c>
      <c r="J118" s="2">
        <v>100</v>
      </c>
      <c r="K118" s="2" t="s">
        <v>37</v>
      </c>
      <c r="L118" s="2">
        <v>17</v>
      </c>
      <c r="M118" t="str" cm="1">
        <f t="array" ref="M118">_xlfn.IFS(L118&lt;=14,"Short",L118&lt;=30,"Medium",L118&lt;=45,"Long",L118&lt;=60,"Very Long")</f>
        <v>Medium</v>
      </c>
      <c r="N118" s="2" t="s">
        <v>173</v>
      </c>
      <c r="O118" s="3">
        <v>6.1</v>
      </c>
    </row>
    <row r="119" spans="1:15" x14ac:dyDescent="0.25">
      <c r="A119" s="4" t="s">
        <v>175</v>
      </c>
      <c r="B119" s="5">
        <v>35</v>
      </c>
      <c r="C119" t="str" cm="1">
        <f t="array" ref="C119">_xlfn.IFS(B119&lt;=30,"Young",B119&lt;=50,"Middle-aged",B119&gt;50,"Older")</f>
        <v>Middle-aged</v>
      </c>
      <c r="D119" s="5" t="s">
        <v>19</v>
      </c>
      <c r="E119" s="5" t="s">
        <v>11</v>
      </c>
      <c r="F119" s="5">
        <f t="shared" si="7"/>
        <v>0</v>
      </c>
      <c r="G119" s="5">
        <f t="shared" si="4"/>
        <v>0</v>
      </c>
      <c r="H119" s="5">
        <f t="shared" si="5"/>
        <v>0</v>
      </c>
      <c r="I119" s="5">
        <f t="shared" si="6"/>
        <v>0</v>
      </c>
      <c r="J119" s="5">
        <v>50</v>
      </c>
      <c r="K119" s="5" t="s">
        <v>51</v>
      </c>
      <c r="L119" s="5">
        <v>22</v>
      </c>
      <c r="M119" t="str" cm="1">
        <f t="array" ref="M119">_xlfn.IFS(L119&lt;=14,"Short",L119&lt;=30,"Medium",L119&lt;=45,"Long",L119&lt;=60,"Very Long")</f>
        <v>Medium</v>
      </c>
      <c r="N119" s="5" t="s">
        <v>41</v>
      </c>
      <c r="O119" s="6">
        <v>8.3000000000000007</v>
      </c>
    </row>
    <row r="120" spans="1:15" x14ac:dyDescent="0.25">
      <c r="A120" s="1" t="s">
        <v>176</v>
      </c>
      <c r="B120" s="2">
        <v>64</v>
      </c>
      <c r="C120" t="str" cm="1">
        <f t="array" ref="C120">_xlfn.IFS(B120&lt;=30,"Young",B120&lt;=50,"Middle-aged",B120&gt;50,"Older")</f>
        <v>Older</v>
      </c>
      <c r="D120" s="2" t="s">
        <v>10</v>
      </c>
      <c r="E120" s="2" t="s">
        <v>11</v>
      </c>
      <c r="F120" s="2">
        <f t="shared" si="7"/>
        <v>0</v>
      </c>
      <c r="G120" s="2">
        <f t="shared" si="4"/>
        <v>0</v>
      </c>
      <c r="H120" s="2">
        <f t="shared" si="5"/>
        <v>0</v>
      </c>
      <c r="I120" s="2">
        <f t="shared" si="6"/>
        <v>0</v>
      </c>
      <c r="J120" s="2">
        <v>50</v>
      </c>
      <c r="K120" s="2" t="s">
        <v>51</v>
      </c>
      <c r="L120" s="2">
        <v>6</v>
      </c>
      <c r="M120" t="str" cm="1">
        <f t="array" ref="M120">_xlfn.IFS(L120&lt;=14,"Short",L120&lt;=30,"Medium",L120&lt;=45,"Long",L120&lt;=60,"Very Long")</f>
        <v>Short</v>
      </c>
      <c r="N120" s="2" t="s">
        <v>41</v>
      </c>
      <c r="O120" s="3">
        <v>8.4</v>
      </c>
    </row>
    <row r="121" spans="1:15" x14ac:dyDescent="0.25">
      <c r="A121" s="4" t="s">
        <v>177</v>
      </c>
      <c r="B121" s="5">
        <v>70</v>
      </c>
      <c r="C121" t="str" cm="1">
        <f t="array" ref="C121">_xlfn.IFS(B121&lt;=30,"Young",B121&lt;=50,"Middle-aged",B121&gt;50,"Older")</f>
        <v>Older</v>
      </c>
      <c r="D121" s="5" t="s">
        <v>19</v>
      </c>
      <c r="E121" s="5" t="s">
        <v>15</v>
      </c>
      <c r="F121" s="5">
        <f t="shared" si="7"/>
        <v>1</v>
      </c>
      <c r="G121" s="5">
        <f t="shared" si="4"/>
        <v>0</v>
      </c>
      <c r="H121" s="5">
        <f t="shared" si="5"/>
        <v>0</v>
      </c>
      <c r="I121" s="5">
        <f t="shared" si="6"/>
        <v>0</v>
      </c>
      <c r="J121" s="5">
        <v>500</v>
      </c>
      <c r="K121" s="5" t="s">
        <v>44</v>
      </c>
      <c r="L121" s="5">
        <v>33</v>
      </c>
      <c r="M121" t="str" cm="1">
        <f t="array" ref="M121">_xlfn.IFS(L121&lt;=14,"Short",L121&lt;=30,"Medium",L121&lt;=45,"Long",L121&lt;=60,"Very Long")</f>
        <v>Long</v>
      </c>
      <c r="N121" s="5" t="s">
        <v>95</v>
      </c>
      <c r="O121" s="6">
        <v>7.8</v>
      </c>
    </row>
    <row r="122" spans="1:15" x14ac:dyDescent="0.25">
      <c r="A122" s="1" t="s">
        <v>178</v>
      </c>
      <c r="B122" s="2">
        <v>41</v>
      </c>
      <c r="C122" t="str" cm="1">
        <f t="array" ref="C122">_xlfn.IFS(B122&lt;=30,"Young",B122&lt;=50,"Middle-aged",B122&gt;50,"Older")</f>
        <v>Middle-aged</v>
      </c>
      <c r="D122" s="2" t="s">
        <v>19</v>
      </c>
      <c r="E122" s="2" t="s">
        <v>15</v>
      </c>
      <c r="F122" s="2">
        <f t="shared" si="7"/>
        <v>1</v>
      </c>
      <c r="G122" s="2">
        <f t="shared" si="4"/>
        <v>0</v>
      </c>
      <c r="H122" s="2">
        <f t="shared" si="5"/>
        <v>0</v>
      </c>
      <c r="I122" s="2">
        <f t="shared" si="6"/>
        <v>0</v>
      </c>
      <c r="J122" s="2">
        <v>100</v>
      </c>
      <c r="K122" s="2" t="s">
        <v>63</v>
      </c>
      <c r="L122" s="2">
        <v>25</v>
      </c>
      <c r="M122" t="str" cm="1">
        <f t="array" ref="M122">_xlfn.IFS(L122&lt;=14,"Short",L122&lt;=30,"Medium",L122&lt;=45,"Long",L122&lt;=60,"Very Long")</f>
        <v>Medium</v>
      </c>
      <c r="N122" s="2" t="s">
        <v>64</v>
      </c>
      <c r="O122" s="3">
        <v>8.1</v>
      </c>
    </row>
    <row r="123" spans="1:15" x14ac:dyDescent="0.25">
      <c r="A123" s="4" t="s">
        <v>179</v>
      </c>
      <c r="B123" s="5">
        <v>43</v>
      </c>
      <c r="C123" t="str" cm="1">
        <f t="array" ref="C123">_xlfn.IFS(B123&lt;=30,"Young",B123&lt;=50,"Middle-aged",B123&gt;50,"Older")</f>
        <v>Middle-aged</v>
      </c>
      <c r="D123" s="5" t="s">
        <v>19</v>
      </c>
      <c r="E123" s="5" t="s">
        <v>33</v>
      </c>
      <c r="F123" s="5">
        <f t="shared" si="7"/>
        <v>0</v>
      </c>
      <c r="G123" s="5">
        <f t="shared" si="4"/>
        <v>0</v>
      </c>
      <c r="H123" s="5">
        <f t="shared" si="5"/>
        <v>0</v>
      </c>
      <c r="I123" s="5">
        <f t="shared" si="6"/>
        <v>1</v>
      </c>
      <c r="J123" s="5">
        <v>50</v>
      </c>
      <c r="K123" s="5" t="s">
        <v>49</v>
      </c>
      <c r="L123" s="5">
        <v>19</v>
      </c>
      <c r="M123" t="str" cm="1">
        <f t="array" ref="M123">_xlfn.IFS(L123&lt;=14,"Short",L123&lt;=30,"Medium",L123&lt;=45,"Long",L123&lt;=60,"Very Long")</f>
        <v>Medium</v>
      </c>
      <c r="N123" s="5" t="s">
        <v>13</v>
      </c>
      <c r="O123" s="6">
        <v>7.8</v>
      </c>
    </row>
    <row r="124" spans="1:15" x14ac:dyDescent="0.25">
      <c r="A124" s="1" t="s">
        <v>180</v>
      </c>
      <c r="B124" s="2">
        <v>42</v>
      </c>
      <c r="C124" t="str" cm="1">
        <f t="array" ref="C124">_xlfn.IFS(B124&lt;=30,"Young",B124&lt;=50,"Middle-aged",B124&gt;50,"Older")</f>
        <v>Middle-aged</v>
      </c>
      <c r="D124" s="2" t="s">
        <v>10</v>
      </c>
      <c r="E124" s="2" t="s">
        <v>11</v>
      </c>
      <c r="F124" s="2">
        <f t="shared" si="7"/>
        <v>0</v>
      </c>
      <c r="G124" s="2">
        <f t="shared" si="4"/>
        <v>0</v>
      </c>
      <c r="H124" s="2">
        <f t="shared" si="5"/>
        <v>0</v>
      </c>
      <c r="I124" s="2">
        <f t="shared" si="6"/>
        <v>0</v>
      </c>
      <c r="J124" s="2">
        <v>50</v>
      </c>
      <c r="K124" s="2" t="s">
        <v>51</v>
      </c>
      <c r="L124" s="2">
        <v>56</v>
      </c>
      <c r="M124" t="str" cm="1">
        <f t="array" ref="M124">_xlfn.IFS(L124&lt;=14,"Short",L124&lt;=30,"Medium",L124&lt;=45,"Long",L124&lt;=60,"Very Long")</f>
        <v>Very Long</v>
      </c>
      <c r="N124" s="2" t="s">
        <v>41</v>
      </c>
      <c r="O124" s="3">
        <v>6</v>
      </c>
    </row>
    <row r="125" spans="1:15" x14ac:dyDescent="0.25">
      <c r="A125" s="4" t="s">
        <v>181</v>
      </c>
      <c r="B125" s="5">
        <v>77</v>
      </c>
      <c r="C125" t="str" cm="1">
        <f t="array" ref="C125">_xlfn.IFS(B125&lt;=30,"Young",B125&lt;=50,"Middle-aged",B125&gt;50,"Older")</f>
        <v>Older</v>
      </c>
      <c r="D125" s="5" t="s">
        <v>19</v>
      </c>
      <c r="E125" s="5" t="s">
        <v>24</v>
      </c>
      <c r="F125" s="5">
        <f t="shared" si="7"/>
        <v>0</v>
      </c>
      <c r="G125" s="5">
        <f t="shared" si="4"/>
        <v>0</v>
      </c>
      <c r="H125" s="5">
        <f t="shared" si="5"/>
        <v>1</v>
      </c>
      <c r="I125" s="5">
        <f t="shared" si="6"/>
        <v>0</v>
      </c>
      <c r="J125" s="5">
        <v>250</v>
      </c>
      <c r="K125" s="5" t="s">
        <v>59</v>
      </c>
      <c r="L125" s="5">
        <v>31</v>
      </c>
      <c r="M125" t="str" cm="1">
        <f t="array" ref="M125">_xlfn.IFS(L125&lt;=14,"Short",L125&lt;=30,"Medium",L125&lt;=45,"Long",L125&lt;=60,"Very Long")</f>
        <v>Long</v>
      </c>
      <c r="N125" s="5" t="s">
        <v>60</v>
      </c>
      <c r="O125" s="6">
        <v>7.6</v>
      </c>
    </row>
    <row r="126" spans="1:15" x14ac:dyDescent="0.25">
      <c r="A126" s="1" t="s">
        <v>182</v>
      </c>
      <c r="B126" s="2">
        <v>77</v>
      </c>
      <c r="C126" t="str" cm="1">
        <f t="array" ref="C126">_xlfn.IFS(B126&lt;=30,"Young",B126&lt;=50,"Middle-aged",B126&gt;50,"Older")</f>
        <v>Older</v>
      </c>
      <c r="D126" s="2" t="s">
        <v>19</v>
      </c>
      <c r="E126" s="2" t="s">
        <v>20</v>
      </c>
      <c r="F126" s="2">
        <f t="shared" si="7"/>
        <v>0</v>
      </c>
      <c r="G126" s="2">
        <f t="shared" si="4"/>
        <v>1</v>
      </c>
      <c r="H126" s="2">
        <f t="shared" si="5"/>
        <v>0</v>
      </c>
      <c r="I126" s="2">
        <f t="shared" si="6"/>
        <v>0</v>
      </c>
      <c r="J126" s="2">
        <v>50</v>
      </c>
      <c r="K126" s="2" t="s">
        <v>55</v>
      </c>
      <c r="L126" s="2">
        <v>54</v>
      </c>
      <c r="M126" t="str" cm="1">
        <f t="array" ref="M126">_xlfn.IFS(L126&lt;=14,"Short",L126&lt;=30,"Medium",L126&lt;=45,"Long",L126&lt;=60,"Very Long")</f>
        <v>Very Long</v>
      </c>
      <c r="N126" s="2" t="s">
        <v>148</v>
      </c>
      <c r="O126" s="3">
        <v>8.1999999999999993</v>
      </c>
    </row>
    <row r="127" spans="1:15" x14ac:dyDescent="0.25">
      <c r="A127" s="4" t="s">
        <v>183</v>
      </c>
      <c r="B127" s="5">
        <v>77</v>
      </c>
      <c r="C127" t="str" cm="1">
        <f t="array" ref="C127">_xlfn.IFS(B127&lt;=30,"Young",B127&lt;=50,"Middle-aged",B127&gt;50,"Older")</f>
        <v>Older</v>
      </c>
      <c r="D127" s="5" t="s">
        <v>10</v>
      </c>
      <c r="E127" s="5" t="s">
        <v>15</v>
      </c>
      <c r="F127" s="5">
        <f t="shared" si="7"/>
        <v>1</v>
      </c>
      <c r="G127" s="5">
        <f t="shared" si="4"/>
        <v>0</v>
      </c>
      <c r="H127" s="5">
        <f t="shared" si="5"/>
        <v>0</v>
      </c>
      <c r="I127" s="5">
        <f t="shared" si="6"/>
        <v>0</v>
      </c>
      <c r="J127" s="5">
        <v>500</v>
      </c>
      <c r="K127" s="5" t="s">
        <v>63</v>
      </c>
      <c r="L127" s="5">
        <v>35</v>
      </c>
      <c r="M127" t="str" cm="1">
        <f t="array" ref="M127">_xlfn.IFS(L127&lt;=14,"Short",L127&lt;=30,"Medium",L127&lt;=45,"Long",L127&lt;=60,"Very Long")</f>
        <v>Long</v>
      </c>
      <c r="N127" s="5" t="s">
        <v>110</v>
      </c>
      <c r="O127" s="6">
        <v>8.1</v>
      </c>
    </row>
    <row r="128" spans="1:15" x14ac:dyDescent="0.25">
      <c r="A128" s="1" t="s">
        <v>184</v>
      </c>
      <c r="B128" s="2">
        <v>62</v>
      </c>
      <c r="C128" t="str" cm="1">
        <f t="array" ref="C128">_xlfn.IFS(B128&lt;=30,"Young",B128&lt;=50,"Middle-aged",B128&gt;50,"Older")</f>
        <v>Older</v>
      </c>
      <c r="D128" s="2" t="s">
        <v>19</v>
      </c>
      <c r="E128" s="2" t="s">
        <v>20</v>
      </c>
      <c r="F128" s="2">
        <f t="shared" si="7"/>
        <v>0</v>
      </c>
      <c r="G128" s="2">
        <f t="shared" si="4"/>
        <v>1</v>
      </c>
      <c r="H128" s="2">
        <f t="shared" si="5"/>
        <v>0</v>
      </c>
      <c r="I128" s="2">
        <f t="shared" si="6"/>
        <v>0</v>
      </c>
      <c r="J128" s="2">
        <v>500</v>
      </c>
      <c r="K128" s="2" t="s">
        <v>37</v>
      </c>
      <c r="L128" s="2">
        <v>19</v>
      </c>
      <c r="M128" t="str" cm="1">
        <f t="array" ref="M128">_xlfn.IFS(L128&lt;=14,"Short",L128&lt;=30,"Medium",L128&lt;=45,"Long",L128&lt;=60,"Very Long")</f>
        <v>Medium</v>
      </c>
      <c r="N128" s="2" t="s">
        <v>173</v>
      </c>
      <c r="O128" s="3">
        <v>8.8000000000000007</v>
      </c>
    </row>
    <row r="129" spans="1:15" x14ac:dyDescent="0.25">
      <c r="A129" s="4" t="s">
        <v>185</v>
      </c>
      <c r="B129" s="5">
        <v>58</v>
      </c>
      <c r="C129" t="str" cm="1">
        <f t="array" ref="C129">_xlfn.IFS(B129&lt;=30,"Young",B129&lt;=50,"Middle-aged",B129&gt;50,"Older")</f>
        <v>Older</v>
      </c>
      <c r="D129" s="5" t="s">
        <v>10</v>
      </c>
      <c r="E129" s="5" t="s">
        <v>20</v>
      </c>
      <c r="F129" s="5">
        <f t="shared" si="7"/>
        <v>0</v>
      </c>
      <c r="G129" s="5">
        <f t="shared" si="4"/>
        <v>1</v>
      </c>
      <c r="H129" s="5">
        <f t="shared" si="5"/>
        <v>0</v>
      </c>
      <c r="I129" s="5">
        <f t="shared" si="6"/>
        <v>0</v>
      </c>
      <c r="J129" s="5">
        <v>850</v>
      </c>
      <c r="K129" s="5" t="s">
        <v>37</v>
      </c>
      <c r="L129" s="5">
        <v>55</v>
      </c>
      <c r="M129" t="str" cm="1">
        <f t="array" ref="M129">_xlfn.IFS(L129&lt;=14,"Short",L129&lt;=30,"Medium",L129&lt;=45,"Long",L129&lt;=60,"Very Long")</f>
        <v>Very Long</v>
      </c>
      <c r="N129" s="5" t="s">
        <v>173</v>
      </c>
      <c r="O129" s="6">
        <v>8.1</v>
      </c>
    </row>
    <row r="130" spans="1:15" x14ac:dyDescent="0.25">
      <c r="A130" s="1" t="s">
        <v>186</v>
      </c>
      <c r="B130" s="2">
        <v>46</v>
      </c>
      <c r="C130" t="str" cm="1">
        <f t="array" ref="C130">_xlfn.IFS(B130&lt;=30,"Young",B130&lt;=50,"Middle-aged",B130&gt;50,"Older")</f>
        <v>Middle-aged</v>
      </c>
      <c r="D130" s="2" t="s">
        <v>19</v>
      </c>
      <c r="E130" s="2" t="s">
        <v>33</v>
      </c>
      <c r="F130" s="2">
        <f t="shared" si="7"/>
        <v>0</v>
      </c>
      <c r="G130" s="2">
        <f t="shared" ref="G130:G193" si="8">IF($E130="Depression",1,0)</f>
        <v>0</v>
      </c>
      <c r="H130" s="2">
        <f t="shared" ref="H130:H193" si="9">IF($E130="Diabetes",1,0)</f>
        <v>0</v>
      </c>
      <c r="I130" s="2">
        <f t="shared" ref="I130:I193" si="10">IF($E130="Pain relief",1,0)</f>
        <v>1</v>
      </c>
      <c r="J130" s="2">
        <v>500</v>
      </c>
      <c r="K130" s="2" t="s">
        <v>49</v>
      </c>
      <c r="L130" s="2">
        <v>27</v>
      </c>
      <c r="M130" t="str" cm="1">
        <f t="array" ref="M130">_xlfn.IFS(L130&lt;=14,"Short",L130&lt;=30,"Medium",L130&lt;=45,"Long",L130&lt;=60,"Very Long")</f>
        <v>Medium</v>
      </c>
      <c r="N130" s="2" t="s">
        <v>30</v>
      </c>
      <c r="O130" s="3">
        <v>7.5</v>
      </c>
    </row>
    <row r="131" spans="1:15" x14ac:dyDescent="0.25">
      <c r="A131" s="4" t="s">
        <v>187</v>
      </c>
      <c r="B131" s="5">
        <v>32</v>
      </c>
      <c r="C131" t="str" cm="1">
        <f t="array" ref="C131">_xlfn.IFS(B131&lt;=30,"Young",B131&lt;=50,"Middle-aged",B131&gt;50,"Older")</f>
        <v>Middle-aged</v>
      </c>
      <c r="D131" s="5" t="s">
        <v>10</v>
      </c>
      <c r="E131" s="5" t="s">
        <v>11</v>
      </c>
      <c r="F131" s="5">
        <f t="shared" ref="F131:F194" si="11">IF($E131="Hypertension",1,0)</f>
        <v>0</v>
      </c>
      <c r="G131" s="5">
        <f t="shared" si="8"/>
        <v>0</v>
      </c>
      <c r="H131" s="5">
        <f t="shared" si="9"/>
        <v>0</v>
      </c>
      <c r="I131" s="5">
        <f t="shared" si="10"/>
        <v>0</v>
      </c>
      <c r="J131" s="5">
        <v>250</v>
      </c>
      <c r="K131" s="5" t="s">
        <v>84</v>
      </c>
      <c r="L131" s="5">
        <v>28</v>
      </c>
      <c r="M131" t="str" cm="1">
        <f t="array" ref="M131">_xlfn.IFS(L131&lt;=14,"Short",L131&lt;=30,"Medium",L131&lt;=45,"Long",L131&lt;=60,"Very Long")</f>
        <v>Medium</v>
      </c>
      <c r="N131" s="5" t="s">
        <v>85</v>
      </c>
      <c r="O131" s="6">
        <v>8.6</v>
      </c>
    </row>
    <row r="132" spans="1:15" x14ac:dyDescent="0.25">
      <c r="A132" s="1" t="s">
        <v>188</v>
      </c>
      <c r="B132" s="2">
        <v>62</v>
      </c>
      <c r="C132" t="str" cm="1">
        <f t="array" ref="C132">_xlfn.IFS(B132&lt;=30,"Young",B132&lt;=50,"Middle-aged",B132&gt;50,"Older")</f>
        <v>Older</v>
      </c>
      <c r="D132" s="2" t="s">
        <v>10</v>
      </c>
      <c r="E132" s="2" t="s">
        <v>15</v>
      </c>
      <c r="F132" s="2">
        <f t="shared" si="11"/>
        <v>1</v>
      </c>
      <c r="G132" s="2">
        <f t="shared" si="8"/>
        <v>0</v>
      </c>
      <c r="H132" s="2">
        <f t="shared" si="9"/>
        <v>0</v>
      </c>
      <c r="I132" s="2">
        <f t="shared" si="10"/>
        <v>0</v>
      </c>
      <c r="J132" s="2">
        <v>500</v>
      </c>
      <c r="K132" s="2" t="s">
        <v>16</v>
      </c>
      <c r="L132" s="2">
        <v>48</v>
      </c>
      <c r="M132" t="str" cm="1">
        <f t="array" ref="M132">_xlfn.IFS(L132&lt;=14,"Short",L132&lt;=30,"Medium",L132&lt;=45,"Long",L132&lt;=60,"Very Long")</f>
        <v>Very Long</v>
      </c>
      <c r="N132" s="2" t="s">
        <v>30</v>
      </c>
      <c r="O132" s="3">
        <v>7</v>
      </c>
    </row>
    <row r="133" spans="1:15" x14ac:dyDescent="0.25">
      <c r="A133" s="4" t="s">
        <v>189</v>
      </c>
      <c r="B133" s="5">
        <v>18</v>
      </c>
      <c r="C133" t="str" cm="1">
        <f t="array" ref="C133">_xlfn.IFS(B133&lt;=30,"Young",B133&lt;=50,"Middle-aged",B133&gt;50,"Older")</f>
        <v>Young</v>
      </c>
      <c r="D133" s="5" t="s">
        <v>19</v>
      </c>
      <c r="E133" s="5" t="s">
        <v>20</v>
      </c>
      <c r="F133" s="5">
        <f t="shared" si="11"/>
        <v>0</v>
      </c>
      <c r="G133" s="5">
        <f t="shared" si="8"/>
        <v>1</v>
      </c>
      <c r="H133" s="5">
        <f t="shared" si="9"/>
        <v>0</v>
      </c>
      <c r="I133" s="5">
        <f t="shared" si="10"/>
        <v>0</v>
      </c>
      <c r="J133" s="5">
        <v>50</v>
      </c>
      <c r="K133" s="5" t="s">
        <v>55</v>
      </c>
      <c r="L133" s="5">
        <v>17</v>
      </c>
      <c r="M133" t="str" cm="1">
        <f t="array" ref="M133">_xlfn.IFS(L133&lt;=14,"Short",L133&lt;=30,"Medium",L133&lt;=45,"Long",L133&lt;=60,"Very Long")</f>
        <v>Medium</v>
      </c>
      <c r="N133" s="5" t="s">
        <v>78</v>
      </c>
      <c r="O133" s="6">
        <v>5.7</v>
      </c>
    </row>
    <row r="134" spans="1:15" x14ac:dyDescent="0.25">
      <c r="A134" s="1" t="s">
        <v>190</v>
      </c>
      <c r="B134" s="2">
        <v>42</v>
      </c>
      <c r="C134" t="str" cm="1">
        <f t="array" ref="C134">_xlfn.IFS(B134&lt;=30,"Young",B134&lt;=50,"Middle-aged",B134&gt;50,"Older")</f>
        <v>Middle-aged</v>
      </c>
      <c r="D134" s="2" t="s">
        <v>10</v>
      </c>
      <c r="E134" s="2" t="s">
        <v>15</v>
      </c>
      <c r="F134" s="2">
        <f t="shared" si="11"/>
        <v>1</v>
      </c>
      <c r="G134" s="2">
        <f t="shared" si="8"/>
        <v>0</v>
      </c>
      <c r="H134" s="2">
        <f t="shared" si="9"/>
        <v>0</v>
      </c>
      <c r="I134" s="2">
        <f t="shared" si="10"/>
        <v>0</v>
      </c>
      <c r="J134" s="2">
        <v>250</v>
      </c>
      <c r="K134" s="2" t="s">
        <v>16</v>
      </c>
      <c r="L134" s="2">
        <v>26</v>
      </c>
      <c r="M134" t="str" cm="1">
        <f t="array" ref="M134">_xlfn.IFS(L134&lt;=14,"Short",L134&lt;=30,"Medium",L134&lt;=45,"Long",L134&lt;=60,"Very Long")</f>
        <v>Medium</v>
      </c>
      <c r="N134" s="2" t="s">
        <v>30</v>
      </c>
      <c r="O134" s="3">
        <v>6.8</v>
      </c>
    </row>
    <row r="135" spans="1:15" x14ac:dyDescent="0.25">
      <c r="A135" s="4" t="s">
        <v>191</v>
      </c>
      <c r="B135" s="5">
        <v>24</v>
      </c>
      <c r="C135" t="str" cm="1">
        <f t="array" ref="C135">_xlfn.IFS(B135&lt;=30,"Young",B135&lt;=50,"Middle-aged",B135&gt;50,"Older")</f>
        <v>Young</v>
      </c>
      <c r="D135" s="5" t="s">
        <v>10</v>
      </c>
      <c r="E135" s="5" t="s">
        <v>24</v>
      </c>
      <c r="F135" s="5">
        <f t="shared" si="11"/>
        <v>0</v>
      </c>
      <c r="G135" s="5">
        <f t="shared" si="8"/>
        <v>0</v>
      </c>
      <c r="H135" s="5">
        <f t="shared" si="9"/>
        <v>1</v>
      </c>
      <c r="I135" s="5">
        <f t="shared" si="10"/>
        <v>0</v>
      </c>
      <c r="J135" s="5">
        <v>850</v>
      </c>
      <c r="K135" s="5" t="s">
        <v>25</v>
      </c>
      <c r="L135" s="5">
        <v>47</v>
      </c>
      <c r="M135" t="str" cm="1">
        <f t="array" ref="M135">_xlfn.IFS(L135&lt;=14,"Short",L135&lt;=30,"Medium",L135&lt;=45,"Long",L135&lt;=60,"Very Long")</f>
        <v>Very Long</v>
      </c>
      <c r="N135" s="5" t="s">
        <v>13</v>
      </c>
      <c r="O135" s="6">
        <v>5.9</v>
      </c>
    </row>
    <row r="136" spans="1:15" x14ac:dyDescent="0.25">
      <c r="A136" s="1" t="s">
        <v>192</v>
      </c>
      <c r="B136" s="2">
        <v>26</v>
      </c>
      <c r="C136" t="str" cm="1">
        <f t="array" ref="C136">_xlfn.IFS(B136&lt;=30,"Young",B136&lt;=50,"Middle-aged",B136&gt;50,"Older")</f>
        <v>Young</v>
      </c>
      <c r="D136" s="2" t="s">
        <v>10</v>
      </c>
      <c r="E136" s="2" t="s">
        <v>33</v>
      </c>
      <c r="F136" s="2">
        <f t="shared" si="11"/>
        <v>0</v>
      </c>
      <c r="G136" s="2">
        <f t="shared" si="8"/>
        <v>0</v>
      </c>
      <c r="H136" s="2">
        <f t="shared" si="9"/>
        <v>0</v>
      </c>
      <c r="I136" s="2">
        <f t="shared" si="10"/>
        <v>1</v>
      </c>
      <c r="J136" s="2">
        <v>500</v>
      </c>
      <c r="K136" s="2" t="s">
        <v>49</v>
      </c>
      <c r="L136" s="2">
        <v>41</v>
      </c>
      <c r="M136" t="str" cm="1">
        <f t="array" ref="M136">_xlfn.IFS(L136&lt;=14,"Short",L136&lt;=30,"Medium",L136&lt;=45,"Long",L136&lt;=60,"Very Long")</f>
        <v>Long</v>
      </c>
      <c r="N136" s="2" t="s">
        <v>13</v>
      </c>
      <c r="O136" s="3">
        <v>6</v>
      </c>
    </row>
    <row r="137" spans="1:15" x14ac:dyDescent="0.25">
      <c r="A137" s="4" t="s">
        <v>193</v>
      </c>
      <c r="B137" s="5">
        <v>41</v>
      </c>
      <c r="C137" t="str" cm="1">
        <f t="array" ref="C137">_xlfn.IFS(B137&lt;=30,"Young",B137&lt;=50,"Middle-aged",B137&gt;50,"Older")</f>
        <v>Middle-aged</v>
      </c>
      <c r="D137" s="5" t="s">
        <v>10</v>
      </c>
      <c r="E137" s="5" t="s">
        <v>24</v>
      </c>
      <c r="F137" s="5">
        <f t="shared" si="11"/>
        <v>0</v>
      </c>
      <c r="G137" s="5">
        <f t="shared" si="8"/>
        <v>0</v>
      </c>
      <c r="H137" s="5">
        <f t="shared" si="9"/>
        <v>1</v>
      </c>
      <c r="I137" s="5">
        <f t="shared" si="10"/>
        <v>0</v>
      </c>
      <c r="J137" s="5">
        <v>50</v>
      </c>
      <c r="K137" s="5" t="s">
        <v>59</v>
      </c>
      <c r="L137" s="5">
        <v>37</v>
      </c>
      <c r="M137" t="str" cm="1">
        <f t="array" ref="M137">_xlfn.IFS(L137&lt;=14,"Short",L137&lt;=30,"Medium",L137&lt;=45,"Long",L137&lt;=60,"Very Long")</f>
        <v>Long</v>
      </c>
      <c r="N137" s="5" t="s">
        <v>74</v>
      </c>
      <c r="O137" s="6">
        <v>6.8</v>
      </c>
    </row>
    <row r="138" spans="1:15" x14ac:dyDescent="0.25">
      <c r="A138" s="1" t="s">
        <v>194</v>
      </c>
      <c r="B138" s="2">
        <v>18</v>
      </c>
      <c r="C138" t="str" cm="1">
        <f t="array" ref="C138">_xlfn.IFS(B138&lt;=30,"Young",B138&lt;=50,"Middle-aged",B138&gt;50,"Older")</f>
        <v>Young</v>
      </c>
      <c r="D138" s="2" t="s">
        <v>10</v>
      </c>
      <c r="E138" s="2" t="s">
        <v>15</v>
      </c>
      <c r="F138" s="2">
        <f t="shared" si="11"/>
        <v>1</v>
      </c>
      <c r="G138" s="2">
        <f t="shared" si="8"/>
        <v>0</v>
      </c>
      <c r="H138" s="2">
        <f t="shared" si="9"/>
        <v>0</v>
      </c>
      <c r="I138" s="2">
        <f t="shared" si="10"/>
        <v>0</v>
      </c>
      <c r="J138" s="2">
        <v>100</v>
      </c>
      <c r="K138" s="2" t="s">
        <v>44</v>
      </c>
      <c r="L138" s="2">
        <v>7</v>
      </c>
      <c r="M138" t="str" cm="1">
        <f t="array" ref="M138">_xlfn.IFS(L138&lt;=14,"Short",L138&lt;=30,"Medium",L138&lt;=45,"Long",L138&lt;=60,"Very Long")</f>
        <v>Short</v>
      </c>
      <c r="N138" s="2" t="s">
        <v>101</v>
      </c>
      <c r="O138" s="3">
        <v>5.8</v>
      </c>
    </row>
    <row r="139" spans="1:15" x14ac:dyDescent="0.25">
      <c r="A139" s="4" t="s">
        <v>195</v>
      </c>
      <c r="B139" s="5">
        <v>61</v>
      </c>
      <c r="C139" t="str" cm="1">
        <f t="array" ref="C139">_xlfn.IFS(B139&lt;=30,"Young",B139&lt;=50,"Middle-aged",B139&gt;50,"Older")</f>
        <v>Older</v>
      </c>
      <c r="D139" s="5" t="s">
        <v>10</v>
      </c>
      <c r="E139" s="5" t="s">
        <v>15</v>
      </c>
      <c r="F139" s="5">
        <f t="shared" si="11"/>
        <v>1</v>
      </c>
      <c r="G139" s="5">
        <f t="shared" si="8"/>
        <v>0</v>
      </c>
      <c r="H139" s="5">
        <f t="shared" si="9"/>
        <v>0</v>
      </c>
      <c r="I139" s="5">
        <f t="shared" si="10"/>
        <v>0</v>
      </c>
      <c r="J139" s="5">
        <v>500</v>
      </c>
      <c r="K139" s="5" t="s">
        <v>44</v>
      </c>
      <c r="L139" s="5">
        <v>58</v>
      </c>
      <c r="M139" t="str" cm="1">
        <f t="array" ref="M139">_xlfn.IFS(L139&lt;=14,"Short",L139&lt;=30,"Medium",L139&lt;=45,"Long",L139&lt;=60,"Very Long")</f>
        <v>Very Long</v>
      </c>
      <c r="N139" s="5" t="s">
        <v>30</v>
      </c>
      <c r="O139" s="6">
        <v>6.5</v>
      </c>
    </row>
    <row r="140" spans="1:15" x14ac:dyDescent="0.25">
      <c r="A140" s="1" t="s">
        <v>196</v>
      </c>
      <c r="B140" s="2">
        <v>25</v>
      </c>
      <c r="C140" t="str" cm="1">
        <f t="array" ref="C140">_xlfn.IFS(B140&lt;=30,"Young",B140&lt;=50,"Middle-aged",B140&gt;50,"Older")</f>
        <v>Young</v>
      </c>
      <c r="D140" s="2" t="s">
        <v>19</v>
      </c>
      <c r="E140" s="2" t="s">
        <v>11</v>
      </c>
      <c r="F140" s="2">
        <f t="shared" si="11"/>
        <v>0</v>
      </c>
      <c r="G140" s="2">
        <f t="shared" si="8"/>
        <v>0</v>
      </c>
      <c r="H140" s="2">
        <f t="shared" si="9"/>
        <v>0</v>
      </c>
      <c r="I140" s="2">
        <f t="shared" si="10"/>
        <v>0</v>
      </c>
      <c r="J140" s="2">
        <v>100</v>
      </c>
      <c r="K140" s="2" t="s">
        <v>51</v>
      </c>
      <c r="L140" s="2">
        <v>23</v>
      </c>
      <c r="M140" t="str" cm="1">
        <f t="array" ref="M140">_xlfn.IFS(L140&lt;=14,"Short",L140&lt;=30,"Medium",L140&lt;=45,"Long",L140&lt;=60,"Very Long")</f>
        <v>Medium</v>
      </c>
      <c r="N140" s="2" t="s">
        <v>13</v>
      </c>
      <c r="O140" s="3">
        <v>4.2</v>
      </c>
    </row>
    <row r="141" spans="1:15" x14ac:dyDescent="0.25">
      <c r="A141" s="4" t="s">
        <v>197</v>
      </c>
      <c r="B141" s="5">
        <v>41</v>
      </c>
      <c r="C141" t="str" cm="1">
        <f t="array" ref="C141">_xlfn.IFS(B141&lt;=30,"Young",B141&lt;=50,"Middle-aged",B141&gt;50,"Older")</f>
        <v>Middle-aged</v>
      </c>
      <c r="D141" s="5" t="s">
        <v>10</v>
      </c>
      <c r="E141" s="5" t="s">
        <v>20</v>
      </c>
      <c r="F141" s="5">
        <f t="shared" si="11"/>
        <v>0</v>
      </c>
      <c r="G141" s="5">
        <f t="shared" si="8"/>
        <v>1</v>
      </c>
      <c r="H141" s="5">
        <f t="shared" si="9"/>
        <v>0</v>
      </c>
      <c r="I141" s="5">
        <f t="shared" si="10"/>
        <v>0</v>
      </c>
      <c r="J141" s="5">
        <v>100</v>
      </c>
      <c r="K141" s="5" t="s">
        <v>55</v>
      </c>
      <c r="L141" s="5">
        <v>27</v>
      </c>
      <c r="M141" t="str" cm="1">
        <f t="array" ref="M141">_xlfn.IFS(L141&lt;=14,"Short",L141&lt;=30,"Medium",L141&lt;=45,"Long",L141&lt;=60,"Very Long")</f>
        <v>Medium</v>
      </c>
      <c r="N141" s="5" t="s">
        <v>78</v>
      </c>
      <c r="O141" s="6">
        <v>7.3</v>
      </c>
    </row>
    <row r="142" spans="1:15" x14ac:dyDescent="0.25">
      <c r="A142" s="1" t="s">
        <v>198</v>
      </c>
      <c r="B142" s="2">
        <v>28</v>
      </c>
      <c r="C142" t="str" cm="1">
        <f t="array" ref="C142">_xlfn.IFS(B142&lt;=30,"Young",B142&lt;=50,"Middle-aged",B142&gt;50,"Older")</f>
        <v>Young</v>
      </c>
      <c r="D142" s="2" t="s">
        <v>10</v>
      </c>
      <c r="E142" s="2" t="s">
        <v>20</v>
      </c>
      <c r="F142" s="2">
        <f t="shared" si="11"/>
        <v>0</v>
      </c>
      <c r="G142" s="2">
        <f t="shared" si="8"/>
        <v>1</v>
      </c>
      <c r="H142" s="2">
        <f t="shared" si="9"/>
        <v>0</v>
      </c>
      <c r="I142" s="2">
        <f t="shared" si="10"/>
        <v>0</v>
      </c>
      <c r="J142" s="2">
        <v>100</v>
      </c>
      <c r="K142" s="2" t="s">
        <v>37</v>
      </c>
      <c r="L142" s="2">
        <v>33</v>
      </c>
      <c r="M142" t="str" cm="1">
        <f t="array" ref="M142">_xlfn.IFS(L142&lt;=14,"Short",L142&lt;=30,"Medium",L142&lt;=45,"Long",L142&lt;=60,"Very Long")</f>
        <v>Long</v>
      </c>
      <c r="N142" s="2" t="s">
        <v>88</v>
      </c>
      <c r="O142" s="3">
        <v>7</v>
      </c>
    </row>
    <row r="143" spans="1:15" x14ac:dyDescent="0.25">
      <c r="A143" s="4" t="s">
        <v>199</v>
      </c>
      <c r="B143" s="5">
        <v>68</v>
      </c>
      <c r="C143" t="str" cm="1">
        <f t="array" ref="C143">_xlfn.IFS(B143&lt;=30,"Young",B143&lt;=50,"Middle-aged",B143&gt;50,"Older")</f>
        <v>Older</v>
      </c>
      <c r="D143" s="5" t="s">
        <v>19</v>
      </c>
      <c r="E143" s="5" t="s">
        <v>24</v>
      </c>
      <c r="F143" s="5">
        <f t="shared" si="11"/>
        <v>0</v>
      </c>
      <c r="G143" s="5">
        <f t="shared" si="8"/>
        <v>0</v>
      </c>
      <c r="H143" s="5">
        <f t="shared" si="9"/>
        <v>1</v>
      </c>
      <c r="I143" s="5">
        <f t="shared" si="10"/>
        <v>0</v>
      </c>
      <c r="J143" s="5">
        <v>500</v>
      </c>
      <c r="K143" s="5" t="s">
        <v>59</v>
      </c>
      <c r="L143" s="5">
        <v>34</v>
      </c>
      <c r="M143" t="str" cm="1">
        <f t="array" ref="M143">_xlfn.IFS(L143&lt;=14,"Short",L143&lt;=30,"Medium",L143&lt;=45,"Long",L143&lt;=60,"Very Long")</f>
        <v>Long</v>
      </c>
      <c r="N143" s="5" t="s">
        <v>74</v>
      </c>
      <c r="O143" s="6">
        <v>5.8</v>
      </c>
    </row>
    <row r="144" spans="1:15" x14ac:dyDescent="0.25">
      <c r="A144" s="1" t="s">
        <v>200</v>
      </c>
      <c r="B144" s="2">
        <v>34</v>
      </c>
      <c r="C144" t="str" cm="1">
        <f t="array" ref="C144">_xlfn.IFS(B144&lt;=30,"Young",B144&lt;=50,"Middle-aged",B144&gt;50,"Older")</f>
        <v>Middle-aged</v>
      </c>
      <c r="D144" s="2" t="s">
        <v>19</v>
      </c>
      <c r="E144" s="2" t="s">
        <v>33</v>
      </c>
      <c r="F144" s="2">
        <f t="shared" si="11"/>
        <v>0</v>
      </c>
      <c r="G144" s="2">
        <f t="shared" si="8"/>
        <v>0</v>
      </c>
      <c r="H144" s="2">
        <f t="shared" si="9"/>
        <v>0</v>
      </c>
      <c r="I144" s="2">
        <f t="shared" si="10"/>
        <v>1</v>
      </c>
      <c r="J144" s="2">
        <v>500</v>
      </c>
      <c r="K144" s="2" t="s">
        <v>34</v>
      </c>
      <c r="L144" s="2">
        <v>43</v>
      </c>
      <c r="M144" t="str" cm="1">
        <f t="array" ref="M144">_xlfn.IFS(L144&lt;=14,"Short",L144&lt;=30,"Medium",L144&lt;=45,"Long",L144&lt;=60,"Very Long")</f>
        <v>Long</v>
      </c>
      <c r="N144" s="2" t="s">
        <v>95</v>
      </c>
      <c r="O144" s="3">
        <v>8</v>
      </c>
    </row>
    <row r="145" spans="1:15" x14ac:dyDescent="0.25">
      <c r="A145" s="4" t="s">
        <v>201</v>
      </c>
      <c r="B145" s="5">
        <v>25</v>
      </c>
      <c r="C145" t="str" cm="1">
        <f t="array" ref="C145">_xlfn.IFS(B145&lt;=30,"Young",B145&lt;=50,"Middle-aged",B145&gt;50,"Older")</f>
        <v>Young</v>
      </c>
      <c r="D145" s="5" t="s">
        <v>19</v>
      </c>
      <c r="E145" s="5" t="s">
        <v>20</v>
      </c>
      <c r="F145" s="5">
        <f t="shared" si="11"/>
        <v>0</v>
      </c>
      <c r="G145" s="5">
        <f t="shared" si="8"/>
        <v>1</v>
      </c>
      <c r="H145" s="5">
        <f t="shared" si="9"/>
        <v>0</v>
      </c>
      <c r="I145" s="5">
        <f t="shared" si="10"/>
        <v>0</v>
      </c>
      <c r="J145" s="5">
        <v>100</v>
      </c>
      <c r="K145" s="5" t="s">
        <v>55</v>
      </c>
      <c r="L145" s="5">
        <v>48</v>
      </c>
      <c r="M145" t="str" cm="1">
        <f t="array" ref="M145">_xlfn.IFS(L145&lt;=14,"Short",L145&lt;=30,"Medium",L145&lt;=45,"Long",L145&lt;=60,"Very Long")</f>
        <v>Very Long</v>
      </c>
      <c r="N145" s="5" t="s">
        <v>148</v>
      </c>
      <c r="O145" s="6">
        <v>8.4</v>
      </c>
    </row>
    <row r="146" spans="1:15" x14ac:dyDescent="0.25">
      <c r="A146" s="1" t="s">
        <v>202</v>
      </c>
      <c r="B146" s="2">
        <v>52</v>
      </c>
      <c r="C146" t="str" cm="1">
        <f t="array" ref="C146">_xlfn.IFS(B146&lt;=30,"Young",B146&lt;=50,"Middle-aged",B146&gt;50,"Older")</f>
        <v>Older</v>
      </c>
      <c r="D146" s="2" t="s">
        <v>19</v>
      </c>
      <c r="E146" s="2" t="s">
        <v>11</v>
      </c>
      <c r="F146" s="2">
        <f t="shared" si="11"/>
        <v>0</v>
      </c>
      <c r="G146" s="2">
        <f t="shared" si="8"/>
        <v>0</v>
      </c>
      <c r="H146" s="2">
        <f t="shared" si="9"/>
        <v>0</v>
      </c>
      <c r="I146" s="2">
        <f t="shared" si="10"/>
        <v>0</v>
      </c>
      <c r="J146" s="2">
        <v>100</v>
      </c>
      <c r="K146" s="2" t="s">
        <v>51</v>
      </c>
      <c r="L146" s="2">
        <v>51</v>
      </c>
      <c r="M146" t="str" cm="1">
        <f t="array" ref="M146">_xlfn.IFS(L146&lt;=14,"Short",L146&lt;=30,"Medium",L146&lt;=45,"Long",L146&lt;=60,"Very Long")</f>
        <v>Very Long</v>
      </c>
      <c r="N146" s="2" t="s">
        <v>13</v>
      </c>
      <c r="O146" s="3">
        <v>4.5999999999999996</v>
      </c>
    </row>
    <row r="147" spans="1:15" x14ac:dyDescent="0.25">
      <c r="A147" s="4" t="s">
        <v>203</v>
      </c>
      <c r="B147" s="5">
        <v>52</v>
      </c>
      <c r="C147" t="str" cm="1">
        <f t="array" ref="C147">_xlfn.IFS(B147&lt;=30,"Young",B147&lt;=50,"Middle-aged",B147&gt;50,"Older")</f>
        <v>Older</v>
      </c>
      <c r="D147" s="5" t="s">
        <v>19</v>
      </c>
      <c r="E147" s="5" t="s">
        <v>24</v>
      </c>
      <c r="F147" s="5">
        <f t="shared" si="11"/>
        <v>0</v>
      </c>
      <c r="G147" s="5">
        <f t="shared" si="8"/>
        <v>0</v>
      </c>
      <c r="H147" s="5">
        <f t="shared" si="9"/>
        <v>1</v>
      </c>
      <c r="I147" s="5">
        <f t="shared" si="10"/>
        <v>0</v>
      </c>
      <c r="J147" s="5">
        <v>250</v>
      </c>
      <c r="K147" s="5" t="s">
        <v>39</v>
      </c>
      <c r="L147" s="5">
        <v>29</v>
      </c>
      <c r="M147" t="str" cm="1">
        <f t="array" ref="M147">_xlfn.IFS(L147&lt;=14,"Short",L147&lt;=30,"Medium",L147&lt;=45,"Long",L147&lt;=60,"Very Long")</f>
        <v>Medium</v>
      </c>
      <c r="N147" s="5" t="s">
        <v>136</v>
      </c>
      <c r="O147" s="6">
        <v>5.9</v>
      </c>
    </row>
    <row r="148" spans="1:15" x14ac:dyDescent="0.25">
      <c r="A148" s="1" t="s">
        <v>204</v>
      </c>
      <c r="B148" s="2">
        <v>50</v>
      </c>
      <c r="C148" t="str" cm="1">
        <f t="array" ref="C148">_xlfn.IFS(B148&lt;=30,"Young",B148&lt;=50,"Middle-aged",B148&gt;50,"Older")</f>
        <v>Middle-aged</v>
      </c>
      <c r="D148" s="2" t="s">
        <v>19</v>
      </c>
      <c r="E148" s="2" t="s">
        <v>24</v>
      </c>
      <c r="F148" s="2">
        <f t="shared" si="11"/>
        <v>0</v>
      </c>
      <c r="G148" s="2">
        <f t="shared" si="8"/>
        <v>0</v>
      </c>
      <c r="H148" s="2">
        <f t="shared" si="9"/>
        <v>1</v>
      </c>
      <c r="I148" s="2">
        <f t="shared" si="10"/>
        <v>0</v>
      </c>
      <c r="J148" s="2">
        <v>850</v>
      </c>
      <c r="K148" s="2" t="s">
        <v>25</v>
      </c>
      <c r="L148" s="2">
        <v>41</v>
      </c>
      <c r="M148" t="str" cm="1">
        <f t="array" ref="M148">_xlfn.IFS(L148&lt;=14,"Short",L148&lt;=30,"Medium",L148&lt;=45,"Long",L148&lt;=60,"Very Long")</f>
        <v>Long</v>
      </c>
      <c r="N148" s="2" t="s">
        <v>26</v>
      </c>
      <c r="O148" s="3">
        <v>5.8</v>
      </c>
    </row>
    <row r="149" spans="1:15" x14ac:dyDescent="0.25">
      <c r="A149" s="4" t="s">
        <v>205</v>
      </c>
      <c r="B149" s="5">
        <v>76</v>
      </c>
      <c r="C149" t="str" cm="1">
        <f t="array" ref="C149">_xlfn.IFS(B149&lt;=30,"Young",B149&lt;=50,"Middle-aged",B149&gt;50,"Older")</f>
        <v>Older</v>
      </c>
      <c r="D149" s="5" t="s">
        <v>19</v>
      </c>
      <c r="E149" s="5" t="s">
        <v>11</v>
      </c>
      <c r="F149" s="5">
        <f t="shared" si="11"/>
        <v>0</v>
      </c>
      <c r="G149" s="5">
        <f t="shared" si="8"/>
        <v>0</v>
      </c>
      <c r="H149" s="5">
        <f t="shared" si="9"/>
        <v>0</v>
      </c>
      <c r="I149" s="5">
        <f t="shared" si="10"/>
        <v>0</v>
      </c>
      <c r="J149" s="5">
        <v>250</v>
      </c>
      <c r="K149" s="5" t="s">
        <v>12</v>
      </c>
      <c r="L149" s="5">
        <v>51</v>
      </c>
      <c r="M149" t="str" cm="1">
        <f t="array" ref="M149">_xlfn.IFS(L149&lt;=14,"Short",L149&lt;=30,"Medium",L149&lt;=45,"Long",L149&lt;=60,"Very Long")</f>
        <v>Very Long</v>
      </c>
      <c r="N149" s="5" t="s">
        <v>120</v>
      </c>
      <c r="O149" s="6">
        <v>5.6</v>
      </c>
    </row>
    <row r="150" spans="1:15" x14ac:dyDescent="0.25">
      <c r="A150" s="1" t="s">
        <v>206</v>
      </c>
      <c r="B150" s="2">
        <v>22</v>
      </c>
      <c r="C150" t="str" cm="1">
        <f t="array" ref="C150">_xlfn.IFS(B150&lt;=30,"Young",B150&lt;=50,"Middle-aged",B150&gt;50,"Older")</f>
        <v>Young</v>
      </c>
      <c r="D150" s="2" t="s">
        <v>10</v>
      </c>
      <c r="E150" s="2" t="s">
        <v>33</v>
      </c>
      <c r="F150" s="2">
        <f t="shared" si="11"/>
        <v>0</v>
      </c>
      <c r="G150" s="2">
        <f t="shared" si="8"/>
        <v>0</v>
      </c>
      <c r="H150" s="2">
        <f t="shared" si="9"/>
        <v>0</v>
      </c>
      <c r="I150" s="2">
        <f t="shared" si="10"/>
        <v>1</v>
      </c>
      <c r="J150" s="2">
        <v>250</v>
      </c>
      <c r="K150" s="2" t="s">
        <v>49</v>
      </c>
      <c r="L150" s="2">
        <v>12</v>
      </c>
      <c r="M150" t="str" cm="1">
        <f t="array" ref="M150">_xlfn.IFS(L150&lt;=14,"Short",L150&lt;=30,"Medium",L150&lt;=45,"Long",L150&lt;=60,"Very Long")</f>
        <v>Short</v>
      </c>
      <c r="N150" s="2" t="s">
        <v>91</v>
      </c>
      <c r="O150" s="3">
        <v>8.1999999999999993</v>
      </c>
    </row>
    <row r="151" spans="1:15" x14ac:dyDescent="0.25">
      <c r="A151" s="4" t="s">
        <v>207</v>
      </c>
      <c r="B151" s="5">
        <v>59</v>
      </c>
      <c r="C151" t="str" cm="1">
        <f t="array" ref="C151">_xlfn.IFS(B151&lt;=30,"Young",B151&lt;=50,"Middle-aged",B151&gt;50,"Older")</f>
        <v>Older</v>
      </c>
      <c r="D151" s="5" t="s">
        <v>10</v>
      </c>
      <c r="E151" s="5" t="s">
        <v>11</v>
      </c>
      <c r="F151" s="5">
        <f t="shared" si="11"/>
        <v>0</v>
      </c>
      <c r="G151" s="5">
        <f t="shared" si="8"/>
        <v>0</v>
      </c>
      <c r="H151" s="5">
        <f t="shared" si="9"/>
        <v>0</v>
      </c>
      <c r="I151" s="5">
        <f t="shared" si="10"/>
        <v>0</v>
      </c>
      <c r="J151" s="5">
        <v>850</v>
      </c>
      <c r="K151" s="5" t="s">
        <v>12</v>
      </c>
      <c r="L151" s="5">
        <v>46</v>
      </c>
      <c r="M151" t="str" cm="1">
        <f t="array" ref="M151">_xlfn.IFS(L151&lt;=14,"Short",L151&lt;=30,"Medium",L151&lt;=45,"Long",L151&lt;=60,"Very Long")</f>
        <v>Very Long</v>
      </c>
      <c r="N151" s="5" t="s">
        <v>30</v>
      </c>
      <c r="O151" s="6">
        <v>6.7</v>
      </c>
    </row>
    <row r="152" spans="1:15" x14ac:dyDescent="0.25">
      <c r="A152" s="1" t="s">
        <v>208</v>
      </c>
      <c r="B152" s="2">
        <v>56</v>
      </c>
      <c r="C152" t="str" cm="1">
        <f t="array" ref="C152">_xlfn.IFS(B152&lt;=30,"Young",B152&lt;=50,"Middle-aged",B152&gt;50,"Older")</f>
        <v>Older</v>
      </c>
      <c r="D152" s="2" t="s">
        <v>19</v>
      </c>
      <c r="E152" s="2" t="s">
        <v>33</v>
      </c>
      <c r="F152" s="2">
        <f t="shared" si="11"/>
        <v>0</v>
      </c>
      <c r="G152" s="2">
        <f t="shared" si="8"/>
        <v>0</v>
      </c>
      <c r="H152" s="2">
        <f t="shared" si="9"/>
        <v>0</v>
      </c>
      <c r="I152" s="2">
        <f t="shared" si="10"/>
        <v>1</v>
      </c>
      <c r="J152" s="2">
        <v>500</v>
      </c>
      <c r="K152" s="2" t="s">
        <v>49</v>
      </c>
      <c r="L152" s="2">
        <v>20</v>
      </c>
      <c r="M152" t="str" cm="1">
        <f t="array" ref="M152">_xlfn.IFS(L152&lt;=14,"Short",L152&lt;=30,"Medium",L152&lt;=45,"Long",L152&lt;=60,"Very Long")</f>
        <v>Medium</v>
      </c>
      <c r="N152" s="2" t="s">
        <v>91</v>
      </c>
      <c r="O152" s="3">
        <v>6.6</v>
      </c>
    </row>
    <row r="153" spans="1:15" x14ac:dyDescent="0.25">
      <c r="A153" s="4" t="s">
        <v>209</v>
      </c>
      <c r="B153" s="5">
        <v>75</v>
      </c>
      <c r="C153" t="str" cm="1">
        <f t="array" ref="C153">_xlfn.IFS(B153&lt;=30,"Young",B153&lt;=50,"Middle-aged",B153&gt;50,"Older")</f>
        <v>Older</v>
      </c>
      <c r="D153" s="5" t="s">
        <v>10</v>
      </c>
      <c r="E153" s="5" t="s">
        <v>11</v>
      </c>
      <c r="F153" s="5">
        <f t="shared" si="11"/>
        <v>0</v>
      </c>
      <c r="G153" s="5">
        <f t="shared" si="8"/>
        <v>0</v>
      </c>
      <c r="H153" s="5">
        <f t="shared" si="9"/>
        <v>0</v>
      </c>
      <c r="I153" s="5">
        <f t="shared" si="10"/>
        <v>0</v>
      </c>
      <c r="J153" s="5">
        <v>100</v>
      </c>
      <c r="K153" s="5" t="s">
        <v>84</v>
      </c>
      <c r="L153" s="5">
        <v>12</v>
      </c>
      <c r="M153" t="str" cm="1">
        <f t="array" ref="M153">_xlfn.IFS(L153&lt;=14,"Short",L153&lt;=30,"Medium",L153&lt;=45,"Long",L153&lt;=60,"Very Long")</f>
        <v>Short</v>
      </c>
      <c r="N153" s="5" t="s">
        <v>85</v>
      </c>
      <c r="O153" s="6">
        <v>4</v>
      </c>
    </row>
    <row r="154" spans="1:15" x14ac:dyDescent="0.25">
      <c r="A154" s="1" t="s">
        <v>210</v>
      </c>
      <c r="B154" s="2">
        <v>58</v>
      </c>
      <c r="C154" t="str" cm="1">
        <f t="array" ref="C154">_xlfn.IFS(B154&lt;=30,"Young",B154&lt;=50,"Middle-aged",B154&gt;50,"Older")</f>
        <v>Older</v>
      </c>
      <c r="D154" s="2" t="s">
        <v>10</v>
      </c>
      <c r="E154" s="2" t="s">
        <v>11</v>
      </c>
      <c r="F154" s="2">
        <f t="shared" si="11"/>
        <v>0</v>
      </c>
      <c r="G154" s="2">
        <f t="shared" si="8"/>
        <v>0</v>
      </c>
      <c r="H154" s="2">
        <f t="shared" si="9"/>
        <v>0</v>
      </c>
      <c r="I154" s="2">
        <f t="shared" si="10"/>
        <v>0</v>
      </c>
      <c r="J154" s="2">
        <v>500</v>
      </c>
      <c r="K154" s="2" t="s">
        <v>51</v>
      </c>
      <c r="L154" s="2">
        <v>5</v>
      </c>
      <c r="M154" t="str" cm="1">
        <f t="array" ref="M154">_xlfn.IFS(L154&lt;=14,"Short",L154&lt;=30,"Medium",L154&lt;=45,"Long",L154&lt;=60,"Very Long")</f>
        <v>Short</v>
      </c>
      <c r="N154" s="2" t="s">
        <v>13</v>
      </c>
      <c r="O154" s="3">
        <v>8</v>
      </c>
    </row>
    <row r="155" spans="1:15" x14ac:dyDescent="0.25">
      <c r="A155" s="4" t="s">
        <v>211</v>
      </c>
      <c r="B155" s="5">
        <v>45</v>
      </c>
      <c r="C155" t="str" cm="1">
        <f t="array" ref="C155">_xlfn.IFS(B155&lt;=30,"Young",B155&lt;=50,"Middle-aged",B155&gt;50,"Older")</f>
        <v>Middle-aged</v>
      </c>
      <c r="D155" s="5" t="s">
        <v>10</v>
      </c>
      <c r="E155" s="5" t="s">
        <v>15</v>
      </c>
      <c r="F155" s="5">
        <f t="shared" si="11"/>
        <v>1</v>
      </c>
      <c r="G155" s="5">
        <f t="shared" si="8"/>
        <v>0</v>
      </c>
      <c r="H155" s="5">
        <f t="shared" si="9"/>
        <v>0</v>
      </c>
      <c r="I155" s="5">
        <f t="shared" si="10"/>
        <v>0</v>
      </c>
      <c r="J155" s="5">
        <v>250</v>
      </c>
      <c r="K155" s="5" t="s">
        <v>44</v>
      </c>
      <c r="L155" s="5">
        <v>48</v>
      </c>
      <c r="M155" t="str" cm="1">
        <f t="array" ref="M155">_xlfn.IFS(L155&lt;=14,"Short",L155&lt;=30,"Medium",L155&lt;=45,"Long",L155&lt;=60,"Very Long")</f>
        <v>Very Long</v>
      </c>
      <c r="N155" s="5" t="s">
        <v>101</v>
      </c>
      <c r="O155" s="6">
        <v>5.0999999999999996</v>
      </c>
    </row>
    <row r="156" spans="1:15" x14ac:dyDescent="0.25">
      <c r="A156" s="1" t="s">
        <v>212</v>
      </c>
      <c r="B156" s="2">
        <v>24</v>
      </c>
      <c r="C156" t="str" cm="1">
        <f t="array" ref="C156">_xlfn.IFS(B156&lt;=30,"Young",B156&lt;=50,"Middle-aged",B156&gt;50,"Older")</f>
        <v>Young</v>
      </c>
      <c r="D156" s="2" t="s">
        <v>19</v>
      </c>
      <c r="E156" s="2" t="s">
        <v>24</v>
      </c>
      <c r="F156" s="2">
        <f t="shared" si="11"/>
        <v>0</v>
      </c>
      <c r="G156" s="2">
        <f t="shared" si="8"/>
        <v>0</v>
      </c>
      <c r="H156" s="2">
        <f t="shared" si="9"/>
        <v>1</v>
      </c>
      <c r="I156" s="2">
        <f t="shared" si="10"/>
        <v>0</v>
      </c>
      <c r="J156" s="2">
        <v>850</v>
      </c>
      <c r="K156" s="2" t="s">
        <v>25</v>
      </c>
      <c r="L156" s="2">
        <v>9</v>
      </c>
      <c r="M156" t="str" cm="1">
        <f t="array" ref="M156">_xlfn.IFS(L156&lt;=14,"Short",L156&lt;=30,"Medium",L156&lt;=45,"Long",L156&lt;=60,"Very Long")</f>
        <v>Short</v>
      </c>
      <c r="N156" s="2" t="s">
        <v>26</v>
      </c>
      <c r="O156" s="3">
        <v>7.1</v>
      </c>
    </row>
    <row r="157" spans="1:15" x14ac:dyDescent="0.25">
      <c r="A157" s="4" t="s">
        <v>213</v>
      </c>
      <c r="B157" s="5">
        <v>26</v>
      </c>
      <c r="C157" t="str" cm="1">
        <f t="array" ref="C157">_xlfn.IFS(B157&lt;=30,"Young",B157&lt;=50,"Middle-aged",B157&gt;50,"Older")</f>
        <v>Young</v>
      </c>
      <c r="D157" s="5" t="s">
        <v>19</v>
      </c>
      <c r="E157" s="5" t="s">
        <v>11</v>
      </c>
      <c r="F157" s="5">
        <f t="shared" si="11"/>
        <v>0</v>
      </c>
      <c r="G157" s="5">
        <f t="shared" si="8"/>
        <v>0</v>
      </c>
      <c r="H157" s="5">
        <f t="shared" si="9"/>
        <v>0</v>
      </c>
      <c r="I157" s="5">
        <f t="shared" si="10"/>
        <v>0</v>
      </c>
      <c r="J157" s="5">
        <v>50</v>
      </c>
      <c r="K157" s="5" t="s">
        <v>12</v>
      </c>
      <c r="L157" s="5">
        <v>7</v>
      </c>
      <c r="M157" t="str" cm="1">
        <f t="array" ref="M157">_xlfn.IFS(L157&lt;=14,"Short",L157&lt;=30,"Medium",L157&lt;=45,"Long",L157&lt;=60,"Very Long")</f>
        <v>Short</v>
      </c>
      <c r="N157" s="5" t="s">
        <v>13</v>
      </c>
      <c r="O157" s="6">
        <v>7.4</v>
      </c>
    </row>
    <row r="158" spans="1:15" x14ac:dyDescent="0.25">
      <c r="A158" s="1" t="s">
        <v>214</v>
      </c>
      <c r="B158" s="2">
        <v>25</v>
      </c>
      <c r="C158" t="str" cm="1">
        <f t="array" ref="C158">_xlfn.IFS(B158&lt;=30,"Young",B158&lt;=50,"Middle-aged",B158&gt;50,"Older")</f>
        <v>Young</v>
      </c>
      <c r="D158" s="2" t="s">
        <v>10</v>
      </c>
      <c r="E158" s="2" t="s">
        <v>11</v>
      </c>
      <c r="F158" s="2">
        <f t="shared" si="11"/>
        <v>0</v>
      </c>
      <c r="G158" s="2">
        <f t="shared" si="8"/>
        <v>0</v>
      </c>
      <c r="H158" s="2">
        <f t="shared" si="9"/>
        <v>0</v>
      </c>
      <c r="I158" s="2">
        <f t="shared" si="10"/>
        <v>0</v>
      </c>
      <c r="J158" s="2">
        <v>50</v>
      </c>
      <c r="K158" s="2" t="s">
        <v>84</v>
      </c>
      <c r="L158" s="2">
        <v>5</v>
      </c>
      <c r="M158" t="str" cm="1">
        <f t="array" ref="M158">_xlfn.IFS(L158&lt;=14,"Short",L158&lt;=30,"Medium",L158&lt;=45,"Long",L158&lt;=60,"Very Long")</f>
        <v>Short</v>
      </c>
      <c r="N158" s="2" t="s">
        <v>97</v>
      </c>
      <c r="O158" s="3">
        <v>9</v>
      </c>
    </row>
    <row r="159" spans="1:15" x14ac:dyDescent="0.25">
      <c r="A159" s="4" t="s">
        <v>215</v>
      </c>
      <c r="B159" s="5">
        <v>29</v>
      </c>
      <c r="C159" t="str" cm="1">
        <f t="array" ref="C159">_xlfn.IFS(B159&lt;=30,"Young",B159&lt;=50,"Middle-aged",B159&gt;50,"Older")</f>
        <v>Young</v>
      </c>
      <c r="D159" s="5" t="s">
        <v>19</v>
      </c>
      <c r="E159" s="5" t="s">
        <v>20</v>
      </c>
      <c r="F159" s="5">
        <f t="shared" si="11"/>
        <v>0</v>
      </c>
      <c r="G159" s="5">
        <f t="shared" si="8"/>
        <v>1</v>
      </c>
      <c r="H159" s="5">
        <f t="shared" si="9"/>
        <v>0</v>
      </c>
      <c r="I159" s="5">
        <f t="shared" si="10"/>
        <v>0</v>
      </c>
      <c r="J159" s="5">
        <v>850</v>
      </c>
      <c r="K159" s="5" t="s">
        <v>55</v>
      </c>
      <c r="L159" s="5">
        <v>8</v>
      </c>
      <c r="M159" t="str" cm="1">
        <f t="array" ref="M159">_xlfn.IFS(L159&lt;=14,"Short",L159&lt;=30,"Medium",L159&lt;=45,"Long",L159&lt;=60,"Very Long")</f>
        <v>Short</v>
      </c>
      <c r="N159" s="5" t="s">
        <v>78</v>
      </c>
      <c r="O159" s="6">
        <v>5</v>
      </c>
    </row>
    <row r="160" spans="1:15" x14ac:dyDescent="0.25">
      <c r="A160" s="1" t="s">
        <v>216</v>
      </c>
      <c r="B160" s="2">
        <v>51</v>
      </c>
      <c r="C160" t="str" cm="1">
        <f t="array" ref="C160">_xlfn.IFS(B160&lt;=30,"Young",B160&lt;=50,"Middle-aged",B160&gt;50,"Older")</f>
        <v>Older</v>
      </c>
      <c r="D160" s="2" t="s">
        <v>10</v>
      </c>
      <c r="E160" s="2" t="s">
        <v>24</v>
      </c>
      <c r="F160" s="2">
        <f t="shared" si="11"/>
        <v>0</v>
      </c>
      <c r="G160" s="2">
        <f t="shared" si="8"/>
        <v>0</v>
      </c>
      <c r="H160" s="2">
        <f t="shared" si="9"/>
        <v>1</v>
      </c>
      <c r="I160" s="2">
        <f t="shared" si="10"/>
        <v>0</v>
      </c>
      <c r="J160" s="2">
        <v>100</v>
      </c>
      <c r="K160" s="2" t="s">
        <v>59</v>
      </c>
      <c r="L160" s="2">
        <v>44</v>
      </c>
      <c r="M160" t="str" cm="1">
        <f t="array" ref="M160">_xlfn.IFS(L160&lt;=14,"Short",L160&lt;=30,"Medium",L160&lt;=45,"Long",L160&lt;=60,"Very Long")</f>
        <v>Long</v>
      </c>
      <c r="N160" s="2" t="s">
        <v>74</v>
      </c>
      <c r="O160" s="3">
        <v>2.5</v>
      </c>
    </row>
    <row r="161" spans="1:15" x14ac:dyDescent="0.25">
      <c r="A161" s="4" t="s">
        <v>217</v>
      </c>
      <c r="B161" s="5">
        <v>50</v>
      </c>
      <c r="C161" t="str" cm="1">
        <f t="array" ref="C161">_xlfn.IFS(B161&lt;=30,"Young",B161&lt;=50,"Middle-aged",B161&gt;50,"Older")</f>
        <v>Middle-aged</v>
      </c>
      <c r="D161" s="5" t="s">
        <v>10</v>
      </c>
      <c r="E161" s="5" t="s">
        <v>20</v>
      </c>
      <c r="F161" s="5">
        <f t="shared" si="11"/>
        <v>0</v>
      </c>
      <c r="G161" s="5">
        <f t="shared" si="8"/>
        <v>1</v>
      </c>
      <c r="H161" s="5">
        <f t="shared" si="9"/>
        <v>0</v>
      </c>
      <c r="I161" s="5">
        <f t="shared" si="10"/>
        <v>0</v>
      </c>
      <c r="J161" s="5">
        <v>250</v>
      </c>
      <c r="K161" s="5" t="s">
        <v>21</v>
      </c>
      <c r="L161" s="5">
        <v>39</v>
      </c>
      <c r="M161" t="str" cm="1">
        <f t="array" ref="M161">_xlfn.IFS(L161&lt;=14,"Short",L161&lt;=30,"Medium",L161&lt;=45,"Long",L161&lt;=60,"Very Long")</f>
        <v>Long</v>
      </c>
      <c r="N161" s="5" t="s">
        <v>41</v>
      </c>
      <c r="O161" s="6">
        <v>7.3</v>
      </c>
    </row>
    <row r="162" spans="1:15" x14ac:dyDescent="0.25">
      <c r="A162" s="1" t="s">
        <v>218</v>
      </c>
      <c r="B162" s="2">
        <v>65</v>
      </c>
      <c r="C162" t="str" cm="1">
        <f t="array" ref="C162">_xlfn.IFS(B162&lt;=30,"Young",B162&lt;=50,"Middle-aged",B162&gt;50,"Older")</f>
        <v>Older</v>
      </c>
      <c r="D162" s="2" t="s">
        <v>10</v>
      </c>
      <c r="E162" s="2" t="s">
        <v>24</v>
      </c>
      <c r="F162" s="2">
        <f t="shared" si="11"/>
        <v>0</v>
      </c>
      <c r="G162" s="2">
        <f t="shared" si="8"/>
        <v>0</v>
      </c>
      <c r="H162" s="2">
        <f t="shared" si="9"/>
        <v>1</v>
      </c>
      <c r="I162" s="2">
        <f t="shared" si="10"/>
        <v>0</v>
      </c>
      <c r="J162" s="2">
        <v>850</v>
      </c>
      <c r="K162" s="2" t="s">
        <v>25</v>
      </c>
      <c r="L162" s="2">
        <v>36</v>
      </c>
      <c r="M162" t="str" cm="1">
        <f t="array" ref="M162">_xlfn.IFS(L162&lt;=14,"Short",L162&lt;=30,"Medium",L162&lt;=45,"Long",L162&lt;=60,"Very Long")</f>
        <v>Long</v>
      </c>
      <c r="N162" s="2" t="s">
        <v>26</v>
      </c>
      <c r="O162" s="3">
        <v>9.6999999999999993</v>
      </c>
    </row>
    <row r="163" spans="1:15" x14ac:dyDescent="0.25">
      <c r="A163" s="4" t="s">
        <v>219</v>
      </c>
      <c r="B163" s="5">
        <v>72</v>
      </c>
      <c r="C163" t="str" cm="1">
        <f t="array" ref="C163">_xlfn.IFS(B163&lt;=30,"Young",B163&lt;=50,"Middle-aged",B163&gt;50,"Older")</f>
        <v>Older</v>
      </c>
      <c r="D163" s="5" t="s">
        <v>10</v>
      </c>
      <c r="E163" s="5" t="s">
        <v>20</v>
      </c>
      <c r="F163" s="5">
        <f t="shared" si="11"/>
        <v>0</v>
      </c>
      <c r="G163" s="5">
        <f t="shared" si="8"/>
        <v>1</v>
      </c>
      <c r="H163" s="5">
        <f t="shared" si="9"/>
        <v>0</v>
      </c>
      <c r="I163" s="5">
        <f t="shared" si="10"/>
        <v>0</v>
      </c>
      <c r="J163" s="5">
        <v>250</v>
      </c>
      <c r="K163" s="5" t="s">
        <v>55</v>
      </c>
      <c r="L163" s="5">
        <v>46</v>
      </c>
      <c r="M163" t="str" cm="1">
        <f t="array" ref="M163">_xlfn.IFS(L163&lt;=14,"Short",L163&lt;=30,"Medium",L163&lt;=45,"Long",L163&lt;=60,"Very Long")</f>
        <v>Very Long</v>
      </c>
      <c r="N163" s="5" t="s">
        <v>22</v>
      </c>
      <c r="O163" s="6">
        <v>8.9</v>
      </c>
    </row>
    <row r="164" spans="1:15" x14ac:dyDescent="0.25">
      <c r="A164" s="1" t="s">
        <v>220</v>
      </c>
      <c r="B164" s="2">
        <v>40</v>
      </c>
      <c r="C164" t="str" cm="1">
        <f t="array" ref="C164">_xlfn.IFS(B164&lt;=30,"Young",B164&lt;=50,"Middle-aged",B164&gt;50,"Older")</f>
        <v>Middle-aged</v>
      </c>
      <c r="D164" s="2" t="s">
        <v>19</v>
      </c>
      <c r="E164" s="2" t="s">
        <v>11</v>
      </c>
      <c r="F164" s="2">
        <f t="shared" si="11"/>
        <v>0</v>
      </c>
      <c r="G164" s="2">
        <f t="shared" si="8"/>
        <v>0</v>
      </c>
      <c r="H164" s="2">
        <f t="shared" si="9"/>
        <v>0</v>
      </c>
      <c r="I164" s="2">
        <f t="shared" si="10"/>
        <v>0</v>
      </c>
      <c r="J164" s="2">
        <v>500</v>
      </c>
      <c r="K164" s="2" t="s">
        <v>84</v>
      </c>
      <c r="L164" s="2">
        <v>38</v>
      </c>
      <c r="M164" t="str" cm="1">
        <f t="array" ref="M164">_xlfn.IFS(L164&lt;=14,"Short",L164&lt;=30,"Medium",L164&lt;=45,"Long",L164&lt;=60,"Very Long")</f>
        <v>Long</v>
      </c>
      <c r="N164" s="2" t="s">
        <v>97</v>
      </c>
      <c r="O164" s="3">
        <v>7.3</v>
      </c>
    </row>
    <row r="165" spans="1:15" x14ac:dyDescent="0.25">
      <c r="A165" s="4" t="s">
        <v>221</v>
      </c>
      <c r="B165" s="5">
        <v>79</v>
      </c>
      <c r="C165" t="str" cm="1">
        <f t="array" ref="C165">_xlfn.IFS(B165&lt;=30,"Young",B165&lt;=50,"Middle-aged",B165&gt;50,"Older")</f>
        <v>Older</v>
      </c>
      <c r="D165" s="5" t="s">
        <v>19</v>
      </c>
      <c r="E165" s="5" t="s">
        <v>11</v>
      </c>
      <c r="F165" s="5">
        <f t="shared" si="11"/>
        <v>0</v>
      </c>
      <c r="G165" s="5">
        <f t="shared" si="8"/>
        <v>0</v>
      </c>
      <c r="H165" s="5">
        <f t="shared" si="9"/>
        <v>0</v>
      </c>
      <c r="I165" s="5">
        <f t="shared" si="10"/>
        <v>0</v>
      </c>
      <c r="J165" s="5">
        <v>250</v>
      </c>
      <c r="K165" s="5" t="s">
        <v>51</v>
      </c>
      <c r="L165" s="5">
        <v>47</v>
      </c>
      <c r="M165" t="str" cm="1">
        <f t="array" ref="M165">_xlfn.IFS(L165&lt;=14,"Short",L165&lt;=30,"Medium",L165&lt;=45,"Long",L165&lt;=60,"Very Long")</f>
        <v>Very Long</v>
      </c>
      <c r="N165" s="5" t="s">
        <v>41</v>
      </c>
      <c r="O165" s="6">
        <v>6.3</v>
      </c>
    </row>
    <row r="166" spans="1:15" x14ac:dyDescent="0.25">
      <c r="A166" s="1" t="s">
        <v>222</v>
      </c>
      <c r="B166" s="2">
        <v>41</v>
      </c>
      <c r="C166" t="str" cm="1">
        <f t="array" ref="C166">_xlfn.IFS(B166&lt;=30,"Young",B166&lt;=50,"Middle-aged",B166&gt;50,"Older")</f>
        <v>Middle-aged</v>
      </c>
      <c r="D166" s="2" t="s">
        <v>19</v>
      </c>
      <c r="E166" s="2" t="s">
        <v>15</v>
      </c>
      <c r="F166" s="2">
        <f t="shared" si="11"/>
        <v>1</v>
      </c>
      <c r="G166" s="2">
        <f t="shared" si="8"/>
        <v>0</v>
      </c>
      <c r="H166" s="2">
        <f t="shared" si="9"/>
        <v>0</v>
      </c>
      <c r="I166" s="2">
        <f t="shared" si="10"/>
        <v>0</v>
      </c>
      <c r="J166" s="2">
        <v>500</v>
      </c>
      <c r="K166" s="2" t="s">
        <v>16</v>
      </c>
      <c r="L166" s="2">
        <v>29</v>
      </c>
      <c r="M166" t="str" cm="1">
        <f t="array" ref="M166">_xlfn.IFS(L166&lt;=14,"Short",L166&lt;=30,"Medium",L166&lt;=45,"Long",L166&lt;=60,"Very Long")</f>
        <v>Medium</v>
      </c>
      <c r="N166" s="2" t="s">
        <v>30</v>
      </c>
      <c r="O166" s="3">
        <v>8.1999999999999993</v>
      </c>
    </row>
    <row r="167" spans="1:15" x14ac:dyDescent="0.25">
      <c r="A167" s="4" t="s">
        <v>223</v>
      </c>
      <c r="B167" s="5">
        <v>54</v>
      </c>
      <c r="C167" t="str" cm="1">
        <f t="array" ref="C167">_xlfn.IFS(B167&lt;=30,"Young",B167&lt;=50,"Middle-aged",B167&gt;50,"Older")</f>
        <v>Older</v>
      </c>
      <c r="D167" s="5" t="s">
        <v>10</v>
      </c>
      <c r="E167" s="5" t="s">
        <v>20</v>
      </c>
      <c r="F167" s="5">
        <f t="shared" si="11"/>
        <v>0</v>
      </c>
      <c r="G167" s="5">
        <f t="shared" si="8"/>
        <v>1</v>
      </c>
      <c r="H167" s="5">
        <f t="shared" si="9"/>
        <v>0</v>
      </c>
      <c r="I167" s="5">
        <f t="shared" si="10"/>
        <v>0</v>
      </c>
      <c r="J167" s="5">
        <v>100</v>
      </c>
      <c r="K167" s="5" t="s">
        <v>55</v>
      </c>
      <c r="L167" s="5">
        <v>14</v>
      </c>
      <c r="M167" t="str" cm="1">
        <f t="array" ref="M167">_xlfn.IFS(L167&lt;=14,"Short",L167&lt;=30,"Medium",L167&lt;=45,"Long",L167&lt;=60,"Very Long")</f>
        <v>Short</v>
      </c>
      <c r="N167" s="5" t="s">
        <v>78</v>
      </c>
      <c r="O167" s="6">
        <v>5.5</v>
      </c>
    </row>
    <row r="168" spans="1:15" x14ac:dyDescent="0.25">
      <c r="A168" s="1" t="s">
        <v>224</v>
      </c>
      <c r="B168" s="2">
        <v>52</v>
      </c>
      <c r="C168" t="str" cm="1">
        <f t="array" ref="C168">_xlfn.IFS(B168&lt;=30,"Young",B168&lt;=50,"Middle-aged",B168&gt;50,"Older")</f>
        <v>Older</v>
      </c>
      <c r="D168" s="2" t="s">
        <v>19</v>
      </c>
      <c r="E168" s="2" t="s">
        <v>33</v>
      </c>
      <c r="F168" s="2">
        <f t="shared" si="11"/>
        <v>0</v>
      </c>
      <c r="G168" s="2">
        <f t="shared" si="8"/>
        <v>0</v>
      </c>
      <c r="H168" s="2">
        <f t="shared" si="9"/>
        <v>0</v>
      </c>
      <c r="I168" s="2">
        <f t="shared" si="10"/>
        <v>1</v>
      </c>
      <c r="J168" s="2">
        <v>500</v>
      </c>
      <c r="K168" s="2" t="s">
        <v>47</v>
      </c>
      <c r="L168" s="2">
        <v>25</v>
      </c>
      <c r="M168" t="str" cm="1">
        <f t="array" ref="M168">_xlfn.IFS(L168&lt;=14,"Short",L168&lt;=30,"Medium",L168&lt;=45,"Long",L168&lt;=60,"Very Long")</f>
        <v>Medium</v>
      </c>
      <c r="N168" s="2" t="s">
        <v>225</v>
      </c>
      <c r="O168" s="3">
        <v>7.7</v>
      </c>
    </row>
    <row r="169" spans="1:15" x14ac:dyDescent="0.25">
      <c r="A169" s="4" t="s">
        <v>226</v>
      </c>
      <c r="B169" s="5">
        <v>61</v>
      </c>
      <c r="C169" t="str" cm="1">
        <f t="array" ref="C169">_xlfn.IFS(B169&lt;=30,"Young",B169&lt;=50,"Middle-aged",B169&gt;50,"Older")</f>
        <v>Older</v>
      </c>
      <c r="D169" s="5" t="s">
        <v>10</v>
      </c>
      <c r="E169" s="5" t="s">
        <v>15</v>
      </c>
      <c r="F169" s="5">
        <f t="shared" si="11"/>
        <v>1</v>
      </c>
      <c r="G169" s="5">
        <f t="shared" si="8"/>
        <v>0</v>
      </c>
      <c r="H169" s="5">
        <f t="shared" si="9"/>
        <v>0</v>
      </c>
      <c r="I169" s="5">
        <f t="shared" si="10"/>
        <v>0</v>
      </c>
      <c r="J169" s="5">
        <v>500</v>
      </c>
      <c r="K169" s="5" t="s">
        <v>16</v>
      </c>
      <c r="L169" s="5">
        <v>50</v>
      </c>
      <c r="M169" t="str" cm="1">
        <f t="array" ref="M169">_xlfn.IFS(L169&lt;=14,"Short",L169&lt;=30,"Medium",L169&lt;=45,"Long",L169&lt;=60,"Very Long")</f>
        <v>Very Long</v>
      </c>
      <c r="N169" s="5" t="s">
        <v>30</v>
      </c>
      <c r="O169" s="6">
        <v>7.8</v>
      </c>
    </row>
    <row r="170" spans="1:15" x14ac:dyDescent="0.25">
      <c r="A170" s="1" t="s">
        <v>227</v>
      </c>
      <c r="B170" s="2">
        <v>57</v>
      </c>
      <c r="C170" t="str" cm="1">
        <f t="array" ref="C170">_xlfn.IFS(B170&lt;=30,"Young",B170&lt;=50,"Middle-aged",B170&gt;50,"Older")</f>
        <v>Older</v>
      </c>
      <c r="D170" s="2" t="s">
        <v>19</v>
      </c>
      <c r="E170" s="2" t="s">
        <v>20</v>
      </c>
      <c r="F170" s="2">
        <f t="shared" si="11"/>
        <v>0</v>
      </c>
      <c r="G170" s="2">
        <f t="shared" si="8"/>
        <v>1</v>
      </c>
      <c r="H170" s="2">
        <f t="shared" si="9"/>
        <v>0</v>
      </c>
      <c r="I170" s="2">
        <f t="shared" si="10"/>
        <v>0</v>
      </c>
      <c r="J170" s="2">
        <v>250</v>
      </c>
      <c r="K170" s="2" t="s">
        <v>55</v>
      </c>
      <c r="L170" s="2">
        <v>43</v>
      </c>
      <c r="M170" t="str" cm="1">
        <f t="array" ref="M170">_xlfn.IFS(L170&lt;=14,"Short",L170&lt;=30,"Medium",L170&lt;=45,"Long",L170&lt;=60,"Very Long")</f>
        <v>Long</v>
      </c>
      <c r="N170" s="2" t="s">
        <v>148</v>
      </c>
      <c r="O170" s="3">
        <v>8.6</v>
      </c>
    </row>
    <row r="171" spans="1:15" x14ac:dyDescent="0.25">
      <c r="A171" s="4" t="s">
        <v>228</v>
      </c>
      <c r="B171" s="5">
        <v>39</v>
      </c>
      <c r="C171" t="str" cm="1">
        <f t="array" ref="C171">_xlfn.IFS(B171&lt;=30,"Young",B171&lt;=50,"Middle-aged",B171&gt;50,"Older")</f>
        <v>Middle-aged</v>
      </c>
      <c r="D171" s="5" t="s">
        <v>10</v>
      </c>
      <c r="E171" s="5" t="s">
        <v>20</v>
      </c>
      <c r="F171" s="5">
        <f t="shared" si="11"/>
        <v>0</v>
      </c>
      <c r="G171" s="5">
        <f t="shared" si="8"/>
        <v>1</v>
      </c>
      <c r="H171" s="5">
        <f t="shared" si="9"/>
        <v>0</v>
      </c>
      <c r="I171" s="5">
        <f t="shared" si="10"/>
        <v>0</v>
      </c>
      <c r="J171" s="5">
        <v>850</v>
      </c>
      <c r="K171" s="5" t="s">
        <v>55</v>
      </c>
      <c r="L171" s="5">
        <v>31</v>
      </c>
      <c r="M171" t="str" cm="1">
        <f t="array" ref="M171">_xlfn.IFS(L171&lt;=14,"Short",L171&lt;=30,"Medium",L171&lt;=45,"Long",L171&lt;=60,"Very Long")</f>
        <v>Long</v>
      </c>
      <c r="N171" s="5" t="s">
        <v>78</v>
      </c>
      <c r="O171" s="6">
        <v>10</v>
      </c>
    </row>
    <row r="172" spans="1:15" x14ac:dyDescent="0.25">
      <c r="A172" s="1" t="s">
        <v>229</v>
      </c>
      <c r="B172" s="2">
        <v>44</v>
      </c>
      <c r="C172" t="str" cm="1">
        <f t="array" ref="C172">_xlfn.IFS(B172&lt;=30,"Young",B172&lt;=50,"Middle-aged",B172&gt;50,"Older")</f>
        <v>Middle-aged</v>
      </c>
      <c r="D172" s="2" t="s">
        <v>10</v>
      </c>
      <c r="E172" s="2" t="s">
        <v>15</v>
      </c>
      <c r="F172" s="2">
        <f t="shared" si="11"/>
        <v>1</v>
      </c>
      <c r="G172" s="2">
        <f t="shared" si="8"/>
        <v>0</v>
      </c>
      <c r="H172" s="2">
        <f t="shared" si="9"/>
        <v>0</v>
      </c>
      <c r="I172" s="2">
        <f t="shared" si="10"/>
        <v>0</v>
      </c>
      <c r="J172" s="2">
        <v>250</v>
      </c>
      <c r="K172" s="2" t="s">
        <v>63</v>
      </c>
      <c r="L172" s="2">
        <v>31</v>
      </c>
      <c r="M172" t="str" cm="1">
        <f t="array" ref="M172">_xlfn.IFS(L172&lt;=14,"Short",L172&lt;=30,"Medium",L172&lt;=45,"Long",L172&lt;=60,"Very Long")</f>
        <v>Long</v>
      </c>
      <c r="N172" s="2" t="s">
        <v>110</v>
      </c>
      <c r="O172" s="3">
        <v>7.6</v>
      </c>
    </row>
    <row r="173" spans="1:15" x14ac:dyDescent="0.25">
      <c r="A173" s="4" t="s">
        <v>230</v>
      </c>
      <c r="B173" s="5">
        <v>52</v>
      </c>
      <c r="C173" t="str" cm="1">
        <f t="array" ref="C173">_xlfn.IFS(B173&lt;=30,"Young",B173&lt;=50,"Middle-aged",B173&gt;50,"Older")</f>
        <v>Older</v>
      </c>
      <c r="D173" s="5" t="s">
        <v>10</v>
      </c>
      <c r="E173" s="5" t="s">
        <v>11</v>
      </c>
      <c r="F173" s="5">
        <f t="shared" si="11"/>
        <v>0</v>
      </c>
      <c r="G173" s="5">
        <f t="shared" si="8"/>
        <v>0</v>
      </c>
      <c r="H173" s="5">
        <f t="shared" si="9"/>
        <v>0</v>
      </c>
      <c r="I173" s="5">
        <f t="shared" si="10"/>
        <v>0</v>
      </c>
      <c r="J173" s="5">
        <v>500</v>
      </c>
      <c r="K173" s="5" t="s">
        <v>12</v>
      </c>
      <c r="L173" s="5">
        <v>6</v>
      </c>
      <c r="M173" t="str" cm="1">
        <f t="array" ref="M173">_xlfn.IFS(L173&lt;=14,"Short",L173&lt;=30,"Medium",L173&lt;=45,"Long",L173&lt;=60,"Very Long")</f>
        <v>Short</v>
      </c>
      <c r="N173" s="5" t="s">
        <v>120</v>
      </c>
      <c r="O173" s="6">
        <v>6.2</v>
      </c>
    </row>
    <row r="174" spans="1:15" x14ac:dyDescent="0.25">
      <c r="A174" s="1" t="s">
        <v>231</v>
      </c>
      <c r="B174" s="2">
        <v>18</v>
      </c>
      <c r="C174" t="str" cm="1">
        <f t="array" ref="C174">_xlfn.IFS(B174&lt;=30,"Young",B174&lt;=50,"Middle-aged",B174&gt;50,"Older")</f>
        <v>Young</v>
      </c>
      <c r="D174" s="2" t="s">
        <v>19</v>
      </c>
      <c r="E174" s="2" t="s">
        <v>20</v>
      </c>
      <c r="F174" s="2">
        <f t="shared" si="11"/>
        <v>0</v>
      </c>
      <c r="G174" s="2">
        <f t="shared" si="8"/>
        <v>1</v>
      </c>
      <c r="H174" s="2">
        <f t="shared" si="9"/>
        <v>0</v>
      </c>
      <c r="I174" s="2">
        <f t="shared" si="10"/>
        <v>0</v>
      </c>
      <c r="J174" s="2">
        <v>100</v>
      </c>
      <c r="K174" s="2" t="s">
        <v>21</v>
      </c>
      <c r="L174" s="2">
        <v>45</v>
      </c>
      <c r="M174" t="str" cm="1">
        <f t="array" ref="M174">_xlfn.IFS(L174&lt;=14,"Short",L174&lt;=30,"Medium",L174&lt;=45,"Long",L174&lt;=60,"Very Long")</f>
        <v>Long</v>
      </c>
      <c r="N174" s="2" t="s">
        <v>22</v>
      </c>
      <c r="O174" s="3">
        <v>7</v>
      </c>
    </row>
    <row r="175" spans="1:15" x14ac:dyDescent="0.25">
      <c r="A175" s="4" t="s">
        <v>232</v>
      </c>
      <c r="B175" s="5">
        <v>52</v>
      </c>
      <c r="C175" t="str" cm="1">
        <f t="array" ref="C175">_xlfn.IFS(B175&lt;=30,"Young",B175&lt;=50,"Middle-aged",B175&gt;50,"Older")</f>
        <v>Older</v>
      </c>
      <c r="D175" s="5" t="s">
        <v>19</v>
      </c>
      <c r="E175" s="5" t="s">
        <v>11</v>
      </c>
      <c r="F175" s="5">
        <f t="shared" si="11"/>
        <v>0</v>
      </c>
      <c r="G175" s="5">
        <f t="shared" si="8"/>
        <v>0</v>
      </c>
      <c r="H175" s="5">
        <f t="shared" si="9"/>
        <v>0</v>
      </c>
      <c r="I175" s="5">
        <f t="shared" si="10"/>
        <v>0</v>
      </c>
      <c r="J175" s="5">
        <v>850</v>
      </c>
      <c r="K175" s="5" t="s">
        <v>84</v>
      </c>
      <c r="L175" s="5">
        <v>52</v>
      </c>
      <c r="M175" t="str" cm="1">
        <f t="array" ref="M175">_xlfn.IFS(L175&lt;=14,"Short",L175&lt;=30,"Medium",L175&lt;=45,"Long",L175&lt;=60,"Very Long")</f>
        <v>Very Long</v>
      </c>
      <c r="N175" s="5" t="s">
        <v>85</v>
      </c>
      <c r="O175" s="6">
        <v>4.3</v>
      </c>
    </row>
    <row r="176" spans="1:15" x14ac:dyDescent="0.25">
      <c r="A176" s="1" t="s">
        <v>233</v>
      </c>
      <c r="B176" s="2">
        <v>54</v>
      </c>
      <c r="C176" t="str" cm="1">
        <f t="array" ref="C176">_xlfn.IFS(B176&lt;=30,"Young",B176&lt;=50,"Middle-aged",B176&gt;50,"Older")</f>
        <v>Older</v>
      </c>
      <c r="D176" s="2" t="s">
        <v>19</v>
      </c>
      <c r="E176" s="2" t="s">
        <v>15</v>
      </c>
      <c r="F176" s="2">
        <f t="shared" si="11"/>
        <v>1</v>
      </c>
      <c r="G176" s="2">
        <f t="shared" si="8"/>
        <v>0</v>
      </c>
      <c r="H176" s="2">
        <f t="shared" si="9"/>
        <v>0</v>
      </c>
      <c r="I176" s="2">
        <f t="shared" si="10"/>
        <v>0</v>
      </c>
      <c r="J176" s="2">
        <v>250</v>
      </c>
      <c r="K176" s="2" t="s">
        <v>63</v>
      </c>
      <c r="L176" s="2">
        <v>17</v>
      </c>
      <c r="M176" t="str" cm="1">
        <f t="array" ref="M176">_xlfn.IFS(L176&lt;=14,"Short",L176&lt;=30,"Medium",L176&lt;=45,"Long",L176&lt;=60,"Very Long")</f>
        <v>Medium</v>
      </c>
      <c r="N176" s="2" t="s">
        <v>41</v>
      </c>
      <c r="O176" s="3">
        <v>6</v>
      </c>
    </row>
    <row r="177" spans="1:15" x14ac:dyDescent="0.25">
      <c r="A177" s="4" t="s">
        <v>234</v>
      </c>
      <c r="B177" s="5">
        <v>64</v>
      </c>
      <c r="C177" t="str" cm="1">
        <f t="array" ref="C177">_xlfn.IFS(B177&lt;=30,"Young",B177&lt;=50,"Middle-aged",B177&gt;50,"Older")</f>
        <v>Older</v>
      </c>
      <c r="D177" s="5" t="s">
        <v>19</v>
      </c>
      <c r="E177" s="5" t="s">
        <v>11</v>
      </c>
      <c r="F177" s="5">
        <f t="shared" si="11"/>
        <v>0</v>
      </c>
      <c r="G177" s="5">
        <f t="shared" si="8"/>
        <v>0</v>
      </c>
      <c r="H177" s="5">
        <f t="shared" si="9"/>
        <v>0</v>
      </c>
      <c r="I177" s="5">
        <f t="shared" si="10"/>
        <v>0</v>
      </c>
      <c r="J177" s="5">
        <v>250</v>
      </c>
      <c r="K177" s="5" t="s">
        <v>51</v>
      </c>
      <c r="L177" s="5">
        <v>13</v>
      </c>
      <c r="M177" t="str" cm="1">
        <f t="array" ref="M177">_xlfn.IFS(L177&lt;=14,"Short",L177&lt;=30,"Medium",L177&lt;=45,"Long",L177&lt;=60,"Very Long")</f>
        <v>Short</v>
      </c>
      <c r="N177" s="5" t="s">
        <v>41</v>
      </c>
      <c r="O177" s="6">
        <v>6.4</v>
      </c>
    </row>
    <row r="178" spans="1:15" x14ac:dyDescent="0.25">
      <c r="A178" s="1" t="s">
        <v>235</v>
      </c>
      <c r="B178" s="2">
        <v>31</v>
      </c>
      <c r="C178" t="str" cm="1">
        <f t="array" ref="C178">_xlfn.IFS(B178&lt;=30,"Young",B178&lt;=50,"Middle-aged",B178&gt;50,"Older")</f>
        <v>Middle-aged</v>
      </c>
      <c r="D178" s="2" t="s">
        <v>10</v>
      </c>
      <c r="E178" s="2" t="s">
        <v>24</v>
      </c>
      <c r="F178" s="2">
        <f t="shared" si="11"/>
        <v>0</v>
      </c>
      <c r="G178" s="2">
        <f t="shared" si="8"/>
        <v>0</v>
      </c>
      <c r="H178" s="2">
        <f t="shared" si="9"/>
        <v>1</v>
      </c>
      <c r="I178" s="2">
        <f t="shared" si="10"/>
        <v>0</v>
      </c>
      <c r="J178" s="2">
        <v>850</v>
      </c>
      <c r="K178" s="2" t="s">
        <v>25</v>
      </c>
      <c r="L178" s="2">
        <v>56</v>
      </c>
      <c r="M178" t="str" cm="1">
        <f t="array" ref="M178">_xlfn.IFS(L178&lt;=14,"Short",L178&lt;=30,"Medium",L178&lt;=45,"Long",L178&lt;=60,"Very Long")</f>
        <v>Very Long</v>
      </c>
      <c r="N178" s="2" t="s">
        <v>70</v>
      </c>
      <c r="O178" s="3">
        <v>6.2</v>
      </c>
    </row>
    <row r="179" spans="1:15" x14ac:dyDescent="0.25">
      <c r="A179" s="4" t="s">
        <v>236</v>
      </c>
      <c r="B179" s="5">
        <v>20</v>
      </c>
      <c r="C179" t="str" cm="1">
        <f t="array" ref="C179">_xlfn.IFS(B179&lt;=30,"Young",B179&lt;=50,"Middle-aged",B179&gt;50,"Older")</f>
        <v>Young</v>
      </c>
      <c r="D179" s="5" t="s">
        <v>19</v>
      </c>
      <c r="E179" s="5" t="s">
        <v>33</v>
      </c>
      <c r="F179" s="5">
        <f t="shared" si="11"/>
        <v>0</v>
      </c>
      <c r="G179" s="5">
        <f t="shared" si="8"/>
        <v>0</v>
      </c>
      <c r="H179" s="5">
        <f t="shared" si="9"/>
        <v>0</v>
      </c>
      <c r="I179" s="5">
        <f t="shared" si="10"/>
        <v>1</v>
      </c>
      <c r="J179" s="5">
        <v>50</v>
      </c>
      <c r="K179" s="5" t="s">
        <v>34</v>
      </c>
      <c r="L179" s="5">
        <v>40</v>
      </c>
      <c r="M179" t="str" cm="1">
        <f t="array" ref="M179">_xlfn.IFS(L179&lt;=14,"Short",L179&lt;=30,"Medium",L179&lt;=45,"Long",L179&lt;=60,"Very Long")</f>
        <v>Long</v>
      </c>
      <c r="N179" s="5" t="s">
        <v>35</v>
      </c>
      <c r="O179" s="6">
        <v>7.2</v>
      </c>
    </row>
    <row r="180" spans="1:15" x14ac:dyDescent="0.25">
      <c r="A180" s="1" t="s">
        <v>237</v>
      </c>
      <c r="B180" s="2">
        <v>18</v>
      </c>
      <c r="C180" t="str" cm="1">
        <f t="array" ref="C180">_xlfn.IFS(B180&lt;=30,"Young",B180&lt;=50,"Middle-aged",B180&gt;50,"Older")</f>
        <v>Young</v>
      </c>
      <c r="D180" s="2" t="s">
        <v>19</v>
      </c>
      <c r="E180" s="2" t="s">
        <v>20</v>
      </c>
      <c r="F180" s="2">
        <f t="shared" si="11"/>
        <v>0</v>
      </c>
      <c r="G180" s="2">
        <f t="shared" si="8"/>
        <v>1</v>
      </c>
      <c r="H180" s="2">
        <f t="shared" si="9"/>
        <v>0</v>
      </c>
      <c r="I180" s="2">
        <f t="shared" si="10"/>
        <v>0</v>
      </c>
      <c r="J180" s="2">
        <v>100</v>
      </c>
      <c r="K180" s="2" t="s">
        <v>37</v>
      </c>
      <c r="L180" s="2">
        <v>26</v>
      </c>
      <c r="M180" t="str" cm="1">
        <f t="array" ref="M180">_xlfn.IFS(L180&lt;=14,"Short",L180&lt;=30,"Medium",L180&lt;=45,"Long",L180&lt;=60,"Very Long")</f>
        <v>Medium</v>
      </c>
      <c r="N180" s="2" t="s">
        <v>88</v>
      </c>
      <c r="O180" s="3">
        <v>5.8</v>
      </c>
    </row>
    <row r="181" spans="1:15" x14ac:dyDescent="0.25">
      <c r="A181" s="4" t="s">
        <v>238</v>
      </c>
      <c r="B181" s="5">
        <v>22</v>
      </c>
      <c r="C181" t="str" cm="1">
        <f t="array" ref="C181">_xlfn.IFS(B181&lt;=30,"Young",B181&lt;=50,"Middle-aged",B181&gt;50,"Older")</f>
        <v>Young</v>
      </c>
      <c r="D181" s="5" t="s">
        <v>10</v>
      </c>
      <c r="E181" s="5" t="s">
        <v>33</v>
      </c>
      <c r="F181" s="5">
        <f t="shared" si="11"/>
        <v>0</v>
      </c>
      <c r="G181" s="5">
        <f t="shared" si="8"/>
        <v>0</v>
      </c>
      <c r="H181" s="5">
        <f t="shared" si="9"/>
        <v>0</v>
      </c>
      <c r="I181" s="5">
        <f t="shared" si="10"/>
        <v>1</v>
      </c>
      <c r="J181" s="5">
        <v>100</v>
      </c>
      <c r="K181" s="5" t="s">
        <v>47</v>
      </c>
      <c r="L181" s="5">
        <v>46</v>
      </c>
      <c r="M181" t="str" cm="1">
        <f t="array" ref="M181">_xlfn.IFS(L181&lt;=14,"Short",L181&lt;=30,"Medium",L181&lt;=45,"Long",L181&lt;=60,"Very Long")</f>
        <v>Very Long</v>
      </c>
      <c r="N181" s="5" t="s">
        <v>225</v>
      </c>
      <c r="O181" s="6">
        <v>8.6999999999999993</v>
      </c>
    </row>
    <row r="182" spans="1:15" x14ac:dyDescent="0.25">
      <c r="A182" s="1" t="s">
        <v>239</v>
      </c>
      <c r="B182" s="2">
        <v>43</v>
      </c>
      <c r="C182" t="str" cm="1">
        <f t="array" ref="C182">_xlfn.IFS(B182&lt;=30,"Young",B182&lt;=50,"Middle-aged",B182&gt;50,"Older")</f>
        <v>Middle-aged</v>
      </c>
      <c r="D182" s="2" t="s">
        <v>10</v>
      </c>
      <c r="E182" s="2" t="s">
        <v>11</v>
      </c>
      <c r="F182" s="2">
        <f t="shared" si="11"/>
        <v>0</v>
      </c>
      <c r="G182" s="2">
        <f t="shared" si="8"/>
        <v>0</v>
      </c>
      <c r="H182" s="2">
        <f t="shared" si="9"/>
        <v>0</v>
      </c>
      <c r="I182" s="2">
        <f t="shared" si="10"/>
        <v>0</v>
      </c>
      <c r="J182" s="2">
        <v>100</v>
      </c>
      <c r="K182" s="2" t="s">
        <v>84</v>
      </c>
      <c r="L182" s="2">
        <v>30</v>
      </c>
      <c r="M182" t="str" cm="1">
        <f t="array" ref="M182">_xlfn.IFS(L182&lt;=14,"Short",L182&lt;=30,"Medium",L182&lt;=45,"Long",L182&lt;=60,"Very Long")</f>
        <v>Medium</v>
      </c>
      <c r="N182" s="2" t="s">
        <v>93</v>
      </c>
      <c r="O182" s="3">
        <v>7</v>
      </c>
    </row>
    <row r="183" spans="1:15" x14ac:dyDescent="0.25">
      <c r="A183" s="4" t="s">
        <v>240</v>
      </c>
      <c r="B183" s="5">
        <v>72</v>
      </c>
      <c r="C183" t="str" cm="1">
        <f t="array" ref="C183">_xlfn.IFS(B183&lt;=30,"Young",B183&lt;=50,"Middle-aged",B183&gt;50,"Older")</f>
        <v>Older</v>
      </c>
      <c r="D183" s="5" t="s">
        <v>10</v>
      </c>
      <c r="E183" s="5" t="s">
        <v>20</v>
      </c>
      <c r="F183" s="5">
        <f t="shared" si="11"/>
        <v>0</v>
      </c>
      <c r="G183" s="5">
        <f t="shared" si="8"/>
        <v>1</v>
      </c>
      <c r="H183" s="5">
        <f t="shared" si="9"/>
        <v>0</v>
      </c>
      <c r="I183" s="5">
        <f t="shared" si="10"/>
        <v>0</v>
      </c>
      <c r="J183" s="5">
        <v>50</v>
      </c>
      <c r="K183" s="5" t="s">
        <v>21</v>
      </c>
      <c r="L183" s="5">
        <v>58</v>
      </c>
      <c r="M183" t="str" cm="1">
        <f t="array" ref="M183">_xlfn.IFS(L183&lt;=14,"Short",L183&lt;=30,"Medium",L183&lt;=45,"Long",L183&lt;=60,"Very Long")</f>
        <v>Very Long</v>
      </c>
      <c r="N183" s="5" t="s">
        <v>28</v>
      </c>
      <c r="O183" s="6">
        <v>7</v>
      </c>
    </row>
    <row r="184" spans="1:15" x14ac:dyDescent="0.25">
      <c r="A184" s="1" t="s">
        <v>241</v>
      </c>
      <c r="B184" s="2">
        <v>31</v>
      </c>
      <c r="C184" t="str" cm="1">
        <f t="array" ref="C184">_xlfn.IFS(B184&lt;=30,"Young",B184&lt;=50,"Middle-aged",B184&gt;50,"Older")</f>
        <v>Middle-aged</v>
      </c>
      <c r="D184" s="2" t="s">
        <v>19</v>
      </c>
      <c r="E184" s="2" t="s">
        <v>11</v>
      </c>
      <c r="F184" s="2">
        <f t="shared" si="11"/>
        <v>0</v>
      </c>
      <c r="G184" s="2">
        <f t="shared" si="8"/>
        <v>0</v>
      </c>
      <c r="H184" s="2">
        <f t="shared" si="9"/>
        <v>0</v>
      </c>
      <c r="I184" s="2">
        <f t="shared" si="10"/>
        <v>0</v>
      </c>
      <c r="J184" s="2">
        <v>500</v>
      </c>
      <c r="K184" s="2" t="s">
        <v>51</v>
      </c>
      <c r="L184" s="2">
        <v>16</v>
      </c>
      <c r="M184" t="str" cm="1">
        <f t="array" ref="M184">_xlfn.IFS(L184&lt;=14,"Short",L184&lt;=30,"Medium",L184&lt;=45,"Long",L184&lt;=60,"Very Long")</f>
        <v>Medium</v>
      </c>
      <c r="N184" s="2" t="s">
        <v>52</v>
      </c>
      <c r="O184" s="3">
        <v>6.5</v>
      </c>
    </row>
    <row r="185" spans="1:15" x14ac:dyDescent="0.25">
      <c r="A185" s="4" t="s">
        <v>242</v>
      </c>
      <c r="B185" s="5">
        <v>56</v>
      </c>
      <c r="C185" t="str" cm="1">
        <f t="array" ref="C185">_xlfn.IFS(B185&lt;=30,"Young",B185&lt;=50,"Middle-aged",B185&gt;50,"Older")</f>
        <v>Older</v>
      </c>
      <c r="D185" s="5" t="s">
        <v>10</v>
      </c>
      <c r="E185" s="5" t="s">
        <v>24</v>
      </c>
      <c r="F185" s="5">
        <f t="shared" si="11"/>
        <v>0</v>
      </c>
      <c r="G185" s="5">
        <f t="shared" si="8"/>
        <v>0</v>
      </c>
      <c r="H185" s="5">
        <f t="shared" si="9"/>
        <v>1</v>
      </c>
      <c r="I185" s="5">
        <f t="shared" si="10"/>
        <v>0</v>
      </c>
      <c r="J185" s="5">
        <v>250</v>
      </c>
      <c r="K185" s="5" t="s">
        <v>39</v>
      </c>
      <c r="L185" s="5">
        <v>21</v>
      </c>
      <c r="M185" t="str" cm="1">
        <f t="array" ref="M185">_xlfn.IFS(L185&lt;=14,"Short",L185&lt;=30,"Medium",L185&lt;=45,"Long",L185&lt;=60,"Very Long")</f>
        <v>Medium</v>
      </c>
      <c r="N185" s="5" t="s">
        <v>13</v>
      </c>
      <c r="O185" s="6">
        <v>7.2</v>
      </c>
    </row>
    <row r="186" spans="1:15" x14ac:dyDescent="0.25">
      <c r="A186" s="1" t="s">
        <v>243</v>
      </c>
      <c r="B186" s="2">
        <v>44</v>
      </c>
      <c r="C186" t="str" cm="1">
        <f t="array" ref="C186">_xlfn.IFS(B186&lt;=30,"Young",B186&lt;=50,"Middle-aged",B186&gt;50,"Older")</f>
        <v>Middle-aged</v>
      </c>
      <c r="D186" s="2" t="s">
        <v>10</v>
      </c>
      <c r="E186" s="2" t="s">
        <v>15</v>
      </c>
      <c r="F186" s="2">
        <f t="shared" si="11"/>
        <v>1</v>
      </c>
      <c r="G186" s="2">
        <f t="shared" si="8"/>
        <v>0</v>
      </c>
      <c r="H186" s="2">
        <f t="shared" si="9"/>
        <v>0</v>
      </c>
      <c r="I186" s="2">
        <f t="shared" si="10"/>
        <v>0</v>
      </c>
      <c r="J186" s="2">
        <v>50</v>
      </c>
      <c r="K186" s="2" t="s">
        <v>16</v>
      </c>
      <c r="L186" s="2">
        <v>18</v>
      </c>
      <c r="M186" t="str" cm="1">
        <f t="array" ref="M186">_xlfn.IFS(L186&lt;=14,"Short",L186&lt;=30,"Medium",L186&lt;=45,"Long",L186&lt;=60,"Very Long")</f>
        <v>Medium</v>
      </c>
      <c r="N186" s="2" t="s">
        <v>30</v>
      </c>
      <c r="O186" s="3">
        <v>8.1999999999999993</v>
      </c>
    </row>
    <row r="187" spans="1:15" x14ac:dyDescent="0.25">
      <c r="A187" s="4" t="s">
        <v>244</v>
      </c>
      <c r="B187" s="5">
        <v>26</v>
      </c>
      <c r="C187" t="str" cm="1">
        <f t="array" ref="C187">_xlfn.IFS(B187&lt;=30,"Young",B187&lt;=50,"Middle-aged",B187&gt;50,"Older")</f>
        <v>Young</v>
      </c>
      <c r="D187" s="5" t="s">
        <v>10</v>
      </c>
      <c r="E187" s="5" t="s">
        <v>20</v>
      </c>
      <c r="F187" s="5">
        <f t="shared" si="11"/>
        <v>0</v>
      </c>
      <c r="G187" s="5">
        <f t="shared" si="8"/>
        <v>1</v>
      </c>
      <c r="H187" s="5">
        <f t="shared" si="9"/>
        <v>0</v>
      </c>
      <c r="I187" s="5">
        <f t="shared" si="10"/>
        <v>0</v>
      </c>
      <c r="J187" s="5">
        <v>100</v>
      </c>
      <c r="K187" s="5" t="s">
        <v>55</v>
      </c>
      <c r="L187" s="5">
        <v>18</v>
      </c>
      <c r="M187" t="str" cm="1">
        <f t="array" ref="M187">_xlfn.IFS(L187&lt;=14,"Short",L187&lt;=30,"Medium",L187&lt;=45,"Long",L187&lt;=60,"Very Long")</f>
        <v>Medium</v>
      </c>
      <c r="N187" s="5" t="s">
        <v>148</v>
      </c>
      <c r="O187" s="6">
        <v>5.7</v>
      </c>
    </row>
    <row r="188" spans="1:15" x14ac:dyDescent="0.25">
      <c r="A188" s="1" t="s">
        <v>245</v>
      </c>
      <c r="B188" s="2">
        <v>32</v>
      </c>
      <c r="C188" t="str" cm="1">
        <f t="array" ref="C188">_xlfn.IFS(B188&lt;=30,"Young",B188&lt;=50,"Middle-aged",B188&gt;50,"Older")</f>
        <v>Middle-aged</v>
      </c>
      <c r="D188" s="2" t="s">
        <v>19</v>
      </c>
      <c r="E188" s="2" t="s">
        <v>24</v>
      </c>
      <c r="F188" s="2">
        <f t="shared" si="11"/>
        <v>0</v>
      </c>
      <c r="G188" s="2">
        <f t="shared" si="8"/>
        <v>0</v>
      </c>
      <c r="H188" s="2">
        <f t="shared" si="9"/>
        <v>1</v>
      </c>
      <c r="I188" s="2">
        <f t="shared" si="10"/>
        <v>0</v>
      </c>
      <c r="J188" s="2">
        <v>250</v>
      </c>
      <c r="K188" s="2" t="s">
        <v>59</v>
      </c>
      <c r="L188" s="2">
        <v>38</v>
      </c>
      <c r="M188" t="str" cm="1">
        <f t="array" ref="M188">_xlfn.IFS(L188&lt;=14,"Short",L188&lt;=30,"Medium",L188&lt;=45,"Long",L188&lt;=60,"Very Long")</f>
        <v>Long</v>
      </c>
      <c r="N188" s="2" t="s">
        <v>74</v>
      </c>
      <c r="O188" s="3">
        <v>6</v>
      </c>
    </row>
    <row r="189" spans="1:15" x14ac:dyDescent="0.25">
      <c r="A189" s="4" t="s">
        <v>246</v>
      </c>
      <c r="B189" s="5">
        <v>32</v>
      </c>
      <c r="C189" t="str" cm="1">
        <f t="array" ref="C189">_xlfn.IFS(B189&lt;=30,"Young",B189&lt;=50,"Middle-aged",B189&gt;50,"Older")</f>
        <v>Middle-aged</v>
      </c>
      <c r="D189" s="5" t="s">
        <v>10</v>
      </c>
      <c r="E189" s="5" t="s">
        <v>24</v>
      </c>
      <c r="F189" s="5">
        <f t="shared" si="11"/>
        <v>0</v>
      </c>
      <c r="G189" s="5">
        <f t="shared" si="8"/>
        <v>0</v>
      </c>
      <c r="H189" s="5">
        <f t="shared" si="9"/>
        <v>1</v>
      </c>
      <c r="I189" s="5">
        <f t="shared" si="10"/>
        <v>0</v>
      </c>
      <c r="J189" s="5">
        <v>250</v>
      </c>
      <c r="K189" s="5" t="s">
        <v>59</v>
      </c>
      <c r="L189" s="5">
        <v>57</v>
      </c>
      <c r="M189" t="str" cm="1">
        <f t="array" ref="M189">_xlfn.IFS(L189&lt;=14,"Short",L189&lt;=30,"Medium",L189&lt;=45,"Long",L189&lt;=60,"Very Long")</f>
        <v>Very Long</v>
      </c>
      <c r="N189" s="5" t="s">
        <v>74</v>
      </c>
      <c r="O189" s="6">
        <v>6.5</v>
      </c>
    </row>
    <row r="190" spans="1:15" x14ac:dyDescent="0.25">
      <c r="A190" s="1" t="s">
        <v>247</v>
      </c>
      <c r="B190" s="2">
        <v>43</v>
      </c>
      <c r="C190" t="str" cm="1">
        <f t="array" ref="C190">_xlfn.IFS(B190&lt;=30,"Young",B190&lt;=50,"Middle-aged",B190&gt;50,"Older")</f>
        <v>Middle-aged</v>
      </c>
      <c r="D190" s="2" t="s">
        <v>19</v>
      </c>
      <c r="E190" s="2" t="s">
        <v>20</v>
      </c>
      <c r="F190" s="2">
        <f t="shared" si="11"/>
        <v>0</v>
      </c>
      <c r="G190" s="2">
        <f t="shared" si="8"/>
        <v>1</v>
      </c>
      <c r="H190" s="2">
        <f t="shared" si="9"/>
        <v>0</v>
      </c>
      <c r="I190" s="2">
        <f t="shared" si="10"/>
        <v>0</v>
      </c>
      <c r="J190" s="2">
        <v>100</v>
      </c>
      <c r="K190" s="2" t="s">
        <v>21</v>
      </c>
      <c r="L190" s="2">
        <v>24</v>
      </c>
      <c r="M190" t="str" cm="1">
        <f t="array" ref="M190">_xlfn.IFS(L190&lt;=14,"Short",L190&lt;=30,"Medium",L190&lt;=45,"Long",L190&lt;=60,"Very Long")</f>
        <v>Medium</v>
      </c>
      <c r="N190" s="2" t="s">
        <v>22</v>
      </c>
      <c r="O190" s="3">
        <v>5</v>
      </c>
    </row>
    <row r="191" spans="1:15" x14ac:dyDescent="0.25">
      <c r="A191" s="4" t="s">
        <v>248</v>
      </c>
      <c r="B191" s="5">
        <v>59</v>
      </c>
      <c r="C191" t="str" cm="1">
        <f t="array" ref="C191">_xlfn.IFS(B191&lt;=30,"Young",B191&lt;=50,"Middle-aged",B191&gt;50,"Older")</f>
        <v>Older</v>
      </c>
      <c r="D191" s="5" t="s">
        <v>19</v>
      </c>
      <c r="E191" s="5" t="s">
        <v>11</v>
      </c>
      <c r="F191" s="5">
        <f t="shared" si="11"/>
        <v>0</v>
      </c>
      <c r="G191" s="5">
        <f t="shared" si="8"/>
        <v>0</v>
      </c>
      <c r="H191" s="5">
        <f t="shared" si="9"/>
        <v>0</v>
      </c>
      <c r="I191" s="5">
        <f t="shared" si="10"/>
        <v>0</v>
      </c>
      <c r="J191" s="5">
        <v>250</v>
      </c>
      <c r="K191" s="5" t="s">
        <v>51</v>
      </c>
      <c r="L191" s="5">
        <v>15</v>
      </c>
      <c r="M191" t="str" cm="1">
        <f t="array" ref="M191">_xlfn.IFS(L191&lt;=14,"Short",L191&lt;=30,"Medium",L191&lt;=45,"Long",L191&lt;=60,"Very Long")</f>
        <v>Medium</v>
      </c>
      <c r="N191" s="5" t="s">
        <v>41</v>
      </c>
      <c r="O191" s="6">
        <v>5.8</v>
      </c>
    </row>
    <row r="192" spans="1:15" x14ac:dyDescent="0.25">
      <c r="A192" s="1" t="s">
        <v>249</v>
      </c>
      <c r="B192" s="2">
        <v>77</v>
      </c>
      <c r="C192" t="str" cm="1">
        <f t="array" ref="C192">_xlfn.IFS(B192&lt;=30,"Young",B192&lt;=50,"Middle-aged",B192&gt;50,"Older")</f>
        <v>Older</v>
      </c>
      <c r="D192" s="2" t="s">
        <v>10</v>
      </c>
      <c r="E192" s="2" t="s">
        <v>24</v>
      </c>
      <c r="F192" s="2">
        <f t="shared" si="11"/>
        <v>0</v>
      </c>
      <c r="G192" s="2">
        <f t="shared" si="8"/>
        <v>0</v>
      </c>
      <c r="H192" s="2">
        <f t="shared" si="9"/>
        <v>1</v>
      </c>
      <c r="I192" s="2">
        <f t="shared" si="10"/>
        <v>0</v>
      </c>
      <c r="J192" s="2">
        <v>250</v>
      </c>
      <c r="K192" s="2" t="s">
        <v>39</v>
      </c>
      <c r="L192" s="2">
        <v>20</v>
      </c>
      <c r="M192" t="str" cm="1">
        <f t="array" ref="M192">_xlfn.IFS(L192&lt;=14,"Short",L192&lt;=30,"Medium",L192&lt;=45,"Long",L192&lt;=60,"Very Long")</f>
        <v>Medium</v>
      </c>
      <c r="N192" s="2" t="s">
        <v>136</v>
      </c>
      <c r="O192" s="3">
        <v>6.3</v>
      </c>
    </row>
    <row r="193" spans="1:15" x14ac:dyDescent="0.25">
      <c r="A193" s="4" t="s">
        <v>250</v>
      </c>
      <c r="B193" s="5">
        <v>30</v>
      </c>
      <c r="C193" t="str" cm="1">
        <f t="array" ref="C193">_xlfn.IFS(B193&lt;=30,"Young",B193&lt;=50,"Middle-aged",B193&gt;50,"Older")</f>
        <v>Young</v>
      </c>
      <c r="D193" s="5" t="s">
        <v>10</v>
      </c>
      <c r="E193" s="5" t="s">
        <v>33</v>
      </c>
      <c r="F193" s="5">
        <f t="shared" si="11"/>
        <v>0</v>
      </c>
      <c r="G193" s="5">
        <f t="shared" si="8"/>
        <v>0</v>
      </c>
      <c r="H193" s="5">
        <f t="shared" si="9"/>
        <v>0</v>
      </c>
      <c r="I193" s="5">
        <f t="shared" si="10"/>
        <v>1</v>
      </c>
      <c r="J193" s="5">
        <v>500</v>
      </c>
      <c r="K193" s="5" t="s">
        <v>49</v>
      </c>
      <c r="L193" s="5">
        <v>55</v>
      </c>
      <c r="M193" t="str" cm="1">
        <f t="array" ref="M193">_xlfn.IFS(L193&lt;=14,"Short",L193&lt;=30,"Medium",L193&lt;=45,"Long",L193&lt;=60,"Very Long")</f>
        <v>Very Long</v>
      </c>
      <c r="N193" s="5" t="s">
        <v>91</v>
      </c>
      <c r="O193" s="6">
        <v>8.3000000000000007</v>
      </c>
    </row>
    <row r="194" spans="1:15" x14ac:dyDescent="0.25">
      <c r="A194" s="1" t="s">
        <v>251</v>
      </c>
      <c r="B194" s="2">
        <v>68</v>
      </c>
      <c r="C194" t="str" cm="1">
        <f t="array" ref="C194">_xlfn.IFS(B194&lt;=30,"Young",B194&lt;=50,"Middle-aged",B194&gt;50,"Older")</f>
        <v>Older</v>
      </c>
      <c r="D194" s="2" t="s">
        <v>19</v>
      </c>
      <c r="E194" s="2" t="s">
        <v>24</v>
      </c>
      <c r="F194" s="2">
        <f t="shared" si="11"/>
        <v>0</v>
      </c>
      <c r="G194" s="2">
        <f t="shared" ref="G194:G257" si="12">IF($E194="Depression",1,0)</f>
        <v>0</v>
      </c>
      <c r="H194" s="2">
        <f t="shared" ref="H194:H257" si="13">IF($E194="Diabetes",1,0)</f>
        <v>1</v>
      </c>
      <c r="I194" s="2">
        <f t="shared" ref="I194:I257" si="14">IF($E194="Pain relief",1,0)</f>
        <v>0</v>
      </c>
      <c r="J194" s="2">
        <v>50</v>
      </c>
      <c r="K194" s="2" t="s">
        <v>59</v>
      </c>
      <c r="L194" s="2">
        <v>35</v>
      </c>
      <c r="M194" t="str" cm="1">
        <f t="array" ref="M194">_xlfn.IFS(L194&lt;=14,"Short",L194&lt;=30,"Medium",L194&lt;=45,"Long",L194&lt;=60,"Very Long")</f>
        <v>Long</v>
      </c>
      <c r="N194" s="2" t="s">
        <v>150</v>
      </c>
      <c r="O194" s="3">
        <v>7.4</v>
      </c>
    </row>
    <row r="195" spans="1:15" x14ac:dyDescent="0.25">
      <c r="A195" s="4" t="s">
        <v>252</v>
      </c>
      <c r="B195" s="5">
        <v>49</v>
      </c>
      <c r="C195" t="str" cm="1">
        <f t="array" ref="C195">_xlfn.IFS(B195&lt;=30,"Young",B195&lt;=50,"Middle-aged",B195&gt;50,"Older")</f>
        <v>Middle-aged</v>
      </c>
      <c r="D195" s="5" t="s">
        <v>10</v>
      </c>
      <c r="E195" s="5" t="s">
        <v>11</v>
      </c>
      <c r="F195" s="5">
        <f t="shared" ref="F195:F258" si="15">IF($E195="Hypertension",1,0)</f>
        <v>0</v>
      </c>
      <c r="G195" s="5">
        <f t="shared" si="12"/>
        <v>0</v>
      </c>
      <c r="H195" s="5">
        <f t="shared" si="13"/>
        <v>0</v>
      </c>
      <c r="I195" s="5">
        <f t="shared" si="14"/>
        <v>0</v>
      </c>
      <c r="J195" s="5">
        <v>100</v>
      </c>
      <c r="K195" s="5" t="s">
        <v>84</v>
      </c>
      <c r="L195" s="5">
        <v>59</v>
      </c>
      <c r="M195" t="str" cm="1">
        <f t="array" ref="M195">_xlfn.IFS(L195&lt;=14,"Short",L195&lt;=30,"Medium",L195&lt;=45,"Long",L195&lt;=60,"Very Long")</f>
        <v>Very Long</v>
      </c>
      <c r="N195" s="5" t="s">
        <v>85</v>
      </c>
      <c r="O195" s="6">
        <v>7.3</v>
      </c>
    </row>
    <row r="196" spans="1:15" x14ac:dyDescent="0.25">
      <c r="A196" s="1" t="s">
        <v>253</v>
      </c>
      <c r="B196" s="2">
        <v>56</v>
      </c>
      <c r="C196" t="str" cm="1">
        <f t="array" ref="C196">_xlfn.IFS(B196&lt;=30,"Young",B196&lt;=50,"Middle-aged",B196&gt;50,"Older")</f>
        <v>Older</v>
      </c>
      <c r="D196" s="2" t="s">
        <v>10</v>
      </c>
      <c r="E196" s="2" t="s">
        <v>11</v>
      </c>
      <c r="F196" s="2">
        <f t="shared" si="15"/>
        <v>0</v>
      </c>
      <c r="G196" s="2">
        <f t="shared" si="12"/>
        <v>0</v>
      </c>
      <c r="H196" s="2">
        <f t="shared" si="13"/>
        <v>0</v>
      </c>
      <c r="I196" s="2">
        <f t="shared" si="14"/>
        <v>0</v>
      </c>
      <c r="J196" s="2">
        <v>500</v>
      </c>
      <c r="K196" s="2" t="s">
        <v>51</v>
      </c>
      <c r="L196" s="2">
        <v>10</v>
      </c>
      <c r="M196" t="str" cm="1">
        <f t="array" ref="M196">_xlfn.IFS(L196&lt;=14,"Short",L196&lt;=30,"Medium",L196&lt;=45,"Long",L196&lt;=60,"Very Long")</f>
        <v>Short</v>
      </c>
      <c r="N196" s="2" t="s">
        <v>52</v>
      </c>
      <c r="O196" s="3">
        <v>8.3000000000000007</v>
      </c>
    </row>
    <row r="197" spans="1:15" x14ac:dyDescent="0.25">
      <c r="A197" s="4" t="s">
        <v>254</v>
      </c>
      <c r="B197" s="5">
        <v>66</v>
      </c>
      <c r="C197" t="str" cm="1">
        <f t="array" ref="C197">_xlfn.IFS(B197&lt;=30,"Young",B197&lt;=50,"Middle-aged",B197&gt;50,"Older")</f>
        <v>Older</v>
      </c>
      <c r="D197" s="5" t="s">
        <v>19</v>
      </c>
      <c r="E197" s="5" t="s">
        <v>33</v>
      </c>
      <c r="F197" s="5">
        <f t="shared" si="15"/>
        <v>0</v>
      </c>
      <c r="G197" s="5">
        <f t="shared" si="12"/>
        <v>0</v>
      </c>
      <c r="H197" s="5">
        <f t="shared" si="13"/>
        <v>0</v>
      </c>
      <c r="I197" s="5">
        <f t="shared" si="14"/>
        <v>1</v>
      </c>
      <c r="J197" s="5">
        <v>100</v>
      </c>
      <c r="K197" s="5" t="s">
        <v>49</v>
      </c>
      <c r="L197" s="5">
        <v>23</v>
      </c>
      <c r="M197" t="str" cm="1">
        <f t="array" ref="M197">_xlfn.IFS(L197&lt;=14,"Short",L197&lt;=30,"Medium",L197&lt;=45,"Long",L197&lt;=60,"Very Long")</f>
        <v>Medium</v>
      </c>
      <c r="N197" s="5" t="s">
        <v>13</v>
      </c>
      <c r="O197" s="6">
        <v>6.8</v>
      </c>
    </row>
    <row r="198" spans="1:15" x14ac:dyDescent="0.25">
      <c r="A198" s="1" t="s">
        <v>255</v>
      </c>
      <c r="B198" s="2">
        <v>69</v>
      </c>
      <c r="C198" t="str" cm="1">
        <f t="array" ref="C198">_xlfn.IFS(B198&lt;=30,"Young",B198&lt;=50,"Middle-aged",B198&gt;50,"Older")</f>
        <v>Older</v>
      </c>
      <c r="D198" s="2" t="s">
        <v>19</v>
      </c>
      <c r="E198" s="2" t="s">
        <v>24</v>
      </c>
      <c r="F198" s="2">
        <f t="shared" si="15"/>
        <v>0</v>
      </c>
      <c r="G198" s="2">
        <f t="shared" si="12"/>
        <v>0</v>
      </c>
      <c r="H198" s="2">
        <f t="shared" si="13"/>
        <v>1</v>
      </c>
      <c r="I198" s="2">
        <f t="shared" si="14"/>
        <v>0</v>
      </c>
      <c r="J198" s="2">
        <v>250</v>
      </c>
      <c r="K198" s="2" t="s">
        <v>25</v>
      </c>
      <c r="L198" s="2">
        <v>41</v>
      </c>
      <c r="M198" t="str" cm="1">
        <f t="array" ref="M198">_xlfn.IFS(L198&lt;=14,"Short",L198&lt;=30,"Medium",L198&lt;=45,"Long",L198&lt;=60,"Very Long")</f>
        <v>Long</v>
      </c>
      <c r="N198" s="2" t="s">
        <v>70</v>
      </c>
      <c r="O198" s="3">
        <v>7.6</v>
      </c>
    </row>
    <row r="199" spans="1:15" x14ac:dyDescent="0.25">
      <c r="A199" s="4" t="s">
        <v>256</v>
      </c>
      <c r="B199" s="5">
        <v>78</v>
      </c>
      <c r="C199" t="str" cm="1">
        <f t="array" ref="C199">_xlfn.IFS(B199&lt;=30,"Young",B199&lt;=50,"Middle-aged",B199&gt;50,"Older")</f>
        <v>Older</v>
      </c>
      <c r="D199" s="5" t="s">
        <v>10</v>
      </c>
      <c r="E199" s="5" t="s">
        <v>11</v>
      </c>
      <c r="F199" s="5">
        <f t="shared" si="15"/>
        <v>0</v>
      </c>
      <c r="G199" s="5">
        <f t="shared" si="12"/>
        <v>0</v>
      </c>
      <c r="H199" s="5">
        <f t="shared" si="13"/>
        <v>0</v>
      </c>
      <c r="I199" s="5">
        <f t="shared" si="14"/>
        <v>0</v>
      </c>
      <c r="J199" s="5">
        <v>100</v>
      </c>
      <c r="K199" s="5" t="s">
        <v>51</v>
      </c>
      <c r="L199" s="5">
        <v>8</v>
      </c>
      <c r="M199" t="str" cm="1">
        <f t="array" ref="M199">_xlfn.IFS(L199&lt;=14,"Short",L199&lt;=30,"Medium",L199&lt;=45,"Long",L199&lt;=60,"Very Long")</f>
        <v>Short</v>
      </c>
      <c r="N199" s="5" t="s">
        <v>13</v>
      </c>
      <c r="O199" s="6">
        <v>6.8</v>
      </c>
    </row>
    <row r="200" spans="1:15" x14ac:dyDescent="0.25">
      <c r="A200" s="1" t="s">
        <v>257</v>
      </c>
      <c r="B200" s="2">
        <v>49</v>
      </c>
      <c r="C200" t="str" cm="1">
        <f t="array" ref="C200">_xlfn.IFS(B200&lt;=30,"Young",B200&lt;=50,"Middle-aged",B200&gt;50,"Older")</f>
        <v>Middle-aged</v>
      </c>
      <c r="D200" s="2" t="s">
        <v>19</v>
      </c>
      <c r="E200" s="2" t="s">
        <v>20</v>
      </c>
      <c r="F200" s="2">
        <f t="shared" si="15"/>
        <v>0</v>
      </c>
      <c r="G200" s="2">
        <f t="shared" si="12"/>
        <v>1</v>
      </c>
      <c r="H200" s="2">
        <f t="shared" si="13"/>
        <v>0</v>
      </c>
      <c r="I200" s="2">
        <f t="shared" si="14"/>
        <v>0</v>
      </c>
      <c r="J200" s="2">
        <v>250</v>
      </c>
      <c r="K200" s="2" t="s">
        <v>37</v>
      </c>
      <c r="L200" s="2">
        <v>51</v>
      </c>
      <c r="M200" t="str" cm="1">
        <f t="array" ref="M200">_xlfn.IFS(L200&lt;=14,"Short",L200&lt;=30,"Medium",L200&lt;=45,"Long",L200&lt;=60,"Very Long")</f>
        <v>Very Long</v>
      </c>
      <c r="N200" s="2" t="s">
        <v>13</v>
      </c>
      <c r="O200" s="3">
        <v>7.4</v>
      </c>
    </row>
    <row r="201" spans="1:15" x14ac:dyDescent="0.25">
      <c r="A201" s="4" t="s">
        <v>258</v>
      </c>
      <c r="B201" s="5">
        <v>21</v>
      </c>
      <c r="C201" t="str" cm="1">
        <f t="array" ref="C201">_xlfn.IFS(B201&lt;=30,"Young",B201&lt;=50,"Middle-aged",B201&gt;50,"Older")</f>
        <v>Young</v>
      </c>
      <c r="D201" s="5" t="s">
        <v>10</v>
      </c>
      <c r="E201" s="5" t="s">
        <v>15</v>
      </c>
      <c r="F201" s="5">
        <f t="shared" si="15"/>
        <v>1</v>
      </c>
      <c r="G201" s="5">
        <f t="shared" si="12"/>
        <v>0</v>
      </c>
      <c r="H201" s="5">
        <f t="shared" si="13"/>
        <v>0</v>
      </c>
      <c r="I201" s="5">
        <f t="shared" si="14"/>
        <v>0</v>
      </c>
      <c r="J201" s="5">
        <v>50</v>
      </c>
      <c r="K201" s="5" t="s">
        <v>44</v>
      </c>
      <c r="L201" s="5">
        <v>8</v>
      </c>
      <c r="M201" t="str" cm="1">
        <f t="array" ref="M201">_xlfn.IFS(L201&lt;=14,"Short",L201&lt;=30,"Medium",L201&lt;=45,"Long",L201&lt;=60,"Very Long")</f>
        <v>Short</v>
      </c>
      <c r="N201" s="5" t="s">
        <v>30</v>
      </c>
      <c r="O201" s="6">
        <v>6.1</v>
      </c>
    </row>
    <row r="202" spans="1:15" x14ac:dyDescent="0.25">
      <c r="A202" s="1" t="s">
        <v>259</v>
      </c>
      <c r="B202" s="2">
        <v>47</v>
      </c>
      <c r="C202" t="str" cm="1">
        <f t="array" ref="C202">_xlfn.IFS(B202&lt;=30,"Young",B202&lt;=50,"Middle-aged",B202&gt;50,"Older")</f>
        <v>Middle-aged</v>
      </c>
      <c r="D202" s="2" t="s">
        <v>10</v>
      </c>
      <c r="E202" s="2" t="s">
        <v>15</v>
      </c>
      <c r="F202" s="2">
        <f t="shared" si="15"/>
        <v>1</v>
      </c>
      <c r="G202" s="2">
        <f t="shared" si="12"/>
        <v>0</v>
      </c>
      <c r="H202" s="2">
        <f t="shared" si="13"/>
        <v>0</v>
      </c>
      <c r="I202" s="2">
        <f t="shared" si="14"/>
        <v>0</v>
      </c>
      <c r="J202" s="2">
        <v>500</v>
      </c>
      <c r="K202" s="2" t="s">
        <v>63</v>
      </c>
      <c r="L202" s="2">
        <v>24</v>
      </c>
      <c r="M202" t="str" cm="1">
        <f t="array" ref="M202">_xlfn.IFS(L202&lt;=14,"Short",L202&lt;=30,"Medium",L202&lt;=45,"Long",L202&lt;=60,"Very Long")</f>
        <v>Medium</v>
      </c>
      <c r="N202" s="2" t="s">
        <v>41</v>
      </c>
      <c r="O202" s="3">
        <v>3.3</v>
      </c>
    </row>
    <row r="203" spans="1:15" x14ac:dyDescent="0.25">
      <c r="A203" s="4" t="s">
        <v>260</v>
      </c>
      <c r="B203" s="5">
        <v>54</v>
      </c>
      <c r="C203" t="str" cm="1">
        <f t="array" ref="C203">_xlfn.IFS(B203&lt;=30,"Young",B203&lt;=50,"Middle-aged",B203&gt;50,"Older")</f>
        <v>Older</v>
      </c>
      <c r="D203" s="5" t="s">
        <v>10</v>
      </c>
      <c r="E203" s="5" t="s">
        <v>15</v>
      </c>
      <c r="F203" s="5">
        <f t="shared" si="15"/>
        <v>1</v>
      </c>
      <c r="G203" s="5">
        <f t="shared" si="12"/>
        <v>0</v>
      </c>
      <c r="H203" s="5">
        <f t="shared" si="13"/>
        <v>0</v>
      </c>
      <c r="I203" s="5">
        <f t="shared" si="14"/>
        <v>0</v>
      </c>
      <c r="J203" s="5">
        <v>100</v>
      </c>
      <c r="K203" s="5" t="s">
        <v>16</v>
      </c>
      <c r="L203" s="5">
        <v>14</v>
      </c>
      <c r="M203" t="str" cm="1">
        <f t="array" ref="M203">_xlfn.IFS(L203&lt;=14,"Short",L203&lt;=30,"Medium",L203&lt;=45,"Long",L203&lt;=60,"Very Long")</f>
        <v>Short</v>
      </c>
      <c r="N203" s="5" t="s">
        <v>30</v>
      </c>
      <c r="O203" s="6">
        <v>6.8</v>
      </c>
    </row>
    <row r="204" spans="1:15" x14ac:dyDescent="0.25">
      <c r="A204" s="1" t="s">
        <v>261</v>
      </c>
      <c r="B204" s="2">
        <v>40</v>
      </c>
      <c r="C204" t="str" cm="1">
        <f t="array" ref="C204">_xlfn.IFS(B204&lt;=30,"Young",B204&lt;=50,"Middle-aged",B204&gt;50,"Older")</f>
        <v>Middle-aged</v>
      </c>
      <c r="D204" s="2" t="s">
        <v>19</v>
      </c>
      <c r="E204" s="2" t="s">
        <v>24</v>
      </c>
      <c r="F204" s="2">
        <f t="shared" si="15"/>
        <v>0</v>
      </c>
      <c r="G204" s="2">
        <f t="shared" si="12"/>
        <v>0</v>
      </c>
      <c r="H204" s="2">
        <f t="shared" si="13"/>
        <v>1</v>
      </c>
      <c r="I204" s="2">
        <f t="shared" si="14"/>
        <v>0</v>
      </c>
      <c r="J204" s="2">
        <v>850</v>
      </c>
      <c r="K204" s="2" t="s">
        <v>59</v>
      </c>
      <c r="L204" s="2">
        <v>28</v>
      </c>
      <c r="M204" t="str" cm="1">
        <f t="array" ref="M204">_xlfn.IFS(L204&lt;=14,"Short",L204&lt;=30,"Medium",L204&lt;=45,"Long",L204&lt;=60,"Very Long")</f>
        <v>Medium</v>
      </c>
      <c r="N204" s="2" t="s">
        <v>150</v>
      </c>
      <c r="O204" s="3">
        <v>9.1</v>
      </c>
    </row>
    <row r="205" spans="1:15" x14ac:dyDescent="0.25">
      <c r="A205" s="4" t="s">
        <v>262</v>
      </c>
      <c r="B205" s="5">
        <v>56</v>
      </c>
      <c r="C205" t="str" cm="1">
        <f t="array" ref="C205">_xlfn.IFS(B205&lt;=30,"Young",B205&lt;=50,"Middle-aged",B205&gt;50,"Older")</f>
        <v>Older</v>
      </c>
      <c r="D205" s="5" t="s">
        <v>10</v>
      </c>
      <c r="E205" s="5" t="s">
        <v>33</v>
      </c>
      <c r="F205" s="5">
        <f t="shared" si="15"/>
        <v>0</v>
      </c>
      <c r="G205" s="5">
        <f t="shared" si="12"/>
        <v>0</v>
      </c>
      <c r="H205" s="5">
        <f t="shared" si="13"/>
        <v>0</v>
      </c>
      <c r="I205" s="5">
        <f t="shared" si="14"/>
        <v>1</v>
      </c>
      <c r="J205" s="5">
        <v>250</v>
      </c>
      <c r="K205" s="5" t="s">
        <v>47</v>
      </c>
      <c r="L205" s="5">
        <v>58</v>
      </c>
      <c r="M205" t="str" cm="1">
        <f t="array" ref="M205">_xlfn.IFS(L205&lt;=14,"Short",L205&lt;=30,"Medium",L205&lt;=45,"Long",L205&lt;=60,"Very Long")</f>
        <v>Very Long</v>
      </c>
      <c r="N205" s="5" t="s">
        <v>225</v>
      </c>
      <c r="O205" s="6">
        <v>8.4</v>
      </c>
    </row>
    <row r="206" spans="1:15" x14ac:dyDescent="0.25">
      <c r="A206" s="1" t="s">
        <v>263</v>
      </c>
      <c r="B206" s="2">
        <v>62</v>
      </c>
      <c r="C206" t="str" cm="1">
        <f t="array" ref="C206">_xlfn.IFS(B206&lt;=30,"Young",B206&lt;=50,"Middle-aged",B206&gt;50,"Older")</f>
        <v>Older</v>
      </c>
      <c r="D206" s="2" t="s">
        <v>10</v>
      </c>
      <c r="E206" s="2" t="s">
        <v>11</v>
      </c>
      <c r="F206" s="2">
        <f t="shared" si="15"/>
        <v>0</v>
      </c>
      <c r="G206" s="2">
        <f t="shared" si="12"/>
        <v>0</v>
      </c>
      <c r="H206" s="2">
        <f t="shared" si="13"/>
        <v>0</v>
      </c>
      <c r="I206" s="2">
        <f t="shared" si="14"/>
        <v>0</v>
      </c>
      <c r="J206" s="2">
        <v>500</v>
      </c>
      <c r="K206" s="2" t="s">
        <v>84</v>
      </c>
      <c r="L206" s="2">
        <v>39</v>
      </c>
      <c r="M206" t="str" cm="1">
        <f t="array" ref="M206">_xlfn.IFS(L206&lt;=14,"Short",L206&lt;=30,"Medium",L206&lt;=45,"Long",L206&lt;=60,"Very Long")</f>
        <v>Long</v>
      </c>
      <c r="N206" s="2" t="s">
        <v>93</v>
      </c>
      <c r="O206" s="3">
        <v>8.4</v>
      </c>
    </row>
    <row r="207" spans="1:15" x14ac:dyDescent="0.25">
      <c r="A207" s="4" t="s">
        <v>264</v>
      </c>
      <c r="B207" s="5">
        <v>32</v>
      </c>
      <c r="C207" t="str" cm="1">
        <f t="array" ref="C207">_xlfn.IFS(B207&lt;=30,"Young",B207&lt;=50,"Middle-aged",B207&gt;50,"Older")</f>
        <v>Middle-aged</v>
      </c>
      <c r="D207" s="5" t="s">
        <v>10</v>
      </c>
      <c r="E207" s="5" t="s">
        <v>20</v>
      </c>
      <c r="F207" s="5">
        <f t="shared" si="15"/>
        <v>0</v>
      </c>
      <c r="G207" s="5">
        <f t="shared" si="12"/>
        <v>1</v>
      </c>
      <c r="H207" s="5">
        <f t="shared" si="13"/>
        <v>0</v>
      </c>
      <c r="I207" s="5">
        <f t="shared" si="14"/>
        <v>0</v>
      </c>
      <c r="J207" s="5">
        <v>850</v>
      </c>
      <c r="K207" s="5" t="s">
        <v>37</v>
      </c>
      <c r="L207" s="5">
        <v>30</v>
      </c>
      <c r="M207" t="str" cm="1">
        <f t="array" ref="M207">_xlfn.IFS(L207&lt;=14,"Short",L207&lt;=30,"Medium",L207&lt;=45,"Long",L207&lt;=60,"Very Long")</f>
        <v>Medium</v>
      </c>
      <c r="N207" s="5" t="s">
        <v>88</v>
      </c>
      <c r="O207" s="6">
        <v>8.9</v>
      </c>
    </row>
    <row r="208" spans="1:15" x14ac:dyDescent="0.25">
      <c r="A208" s="1" t="s">
        <v>265</v>
      </c>
      <c r="B208" s="2">
        <v>60</v>
      </c>
      <c r="C208" t="str" cm="1">
        <f t="array" ref="C208">_xlfn.IFS(B208&lt;=30,"Young",B208&lt;=50,"Middle-aged",B208&gt;50,"Older")</f>
        <v>Older</v>
      </c>
      <c r="D208" s="2" t="s">
        <v>19</v>
      </c>
      <c r="E208" s="2" t="s">
        <v>20</v>
      </c>
      <c r="F208" s="2">
        <f t="shared" si="15"/>
        <v>0</v>
      </c>
      <c r="G208" s="2">
        <f t="shared" si="12"/>
        <v>1</v>
      </c>
      <c r="H208" s="2">
        <f t="shared" si="13"/>
        <v>0</v>
      </c>
      <c r="I208" s="2">
        <f t="shared" si="14"/>
        <v>0</v>
      </c>
      <c r="J208" s="2">
        <v>500</v>
      </c>
      <c r="K208" s="2" t="s">
        <v>21</v>
      </c>
      <c r="L208" s="2">
        <v>41</v>
      </c>
      <c r="M208" t="str" cm="1">
        <f t="array" ref="M208">_xlfn.IFS(L208&lt;=14,"Short",L208&lt;=30,"Medium",L208&lt;=45,"Long",L208&lt;=60,"Very Long")</f>
        <v>Long</v>
      </c>
      <c r="N208" s="2" t="s">
        <v>28</v>
      </c>
      <c r="O208" s="3">
        <v>7.1</v>
      </c>
    </row>
    <row r="209" spans="1:15" x14ac:dyDescent="0.25">
      <c r="A209" s="4" t="s">
        <v>266</v>
      </c>
      <c r="B209" s="5">
        <v>46</v>
      </c>
      <c r="C209" t="str" cm="1">
        <f t="array" ref="C209">_xlfn.IFS(B209&lt;=30,"Young",B209&lt;=50,"Middle-aged",B209&gt;50,"Older")</f>
        <v>Middle-aged</v>
      </c>
      <c r="D209" s="5" t="s">
        <v>19</v>
      </c>
      <c r="E209" s="5" t="s">
        <v>24</v>
      </c>
      <c r="F209" s="5">
        <f t="shared" si="15"/>
        <v>0</v>
      </c>
      <c r="G209" s="5">
        <f t="shared" si="12"/>
        <v>0</v>
      </c>
      <c r="H209" s="5">
        <f t="shared" si="13"/>
        <v>1</v>
      </c>
      <c r="I209" s="5">
        <f t="shared" si="14"/>
        <v>0</v>
      </c>
      <c r="J209" s="5">
        <v>50</v>
      </c>
      <c r="K209" s="5" t="s">
        <v>25</v>
      </c>
      <c r="L209" s="5">
        <v>42</v>
      </c>
      <c r="M209" t="str" cm="1">
        <f t="array" ref="M209">_xlfn.IFS(L209&lt;=14,"Short",L209&lt;=30,"Medium",L209&lt;=45,"Long",L209&lt;=60,"Very Long")</f>
        <v>Long</v>
      </c>
      <c r="N209" s="5" t="s">
        <v>26</v>
      </c>
      <c r="O209" s="6">
        <v>7.3</v>
      </c>
    </row>
    <row r="210" spans="1:15" x14ac:dyDescent="0.25">
      <c r="A210" s="1" t="s">
        <v>267</v>
      </c>
      <c r="B210" s="2">
        <v>53</v>
      </c>
      <c r="C210" t="str" cm="1">
        <f t="array" ref="C210">_xlfn.IFS(B210&lt;=30,"Young",B210&lt;=50,"Middle-aged",B210&gt;50,"Older")</f>
        <v>Older</v>
      </c>
      <c r="D210" s="2" t="s">
        <v>19</v>
      </c>
      <c r="E210" s="2" t="s">
        <v>15</v>
      </c>
      <c r="F210" s="2">
        <f t="shared" si="15"/>
        <v>1</v>
      </c>
      <c r="G210" s="2">
        <f t="shared" si="12"/>
        <v>0</v>
      </c>
      <c r="H210" s="2">
        <f t="shared" si="13"/>
        <v>0</v>
      </c>
      <c r="I210" s="2">
        <f t="shared" si="14"/>
        <v>0</v>
      </c>
      <c r="J210" s="2">
        <v>850</v>
      </c>
      <c r="K210" s="2" t="s">
        <v>16</v>
      </c>
      <c r="L210" s="2">
        <v>25</v>
      </c>
      <c r="M210" t="str" cm="1">
        <f t="array" ref="M210">_xlfn.IFS(L210&lt;=14,"Short",L210&lt;=30,"Medium",L210&lt;=45,"Long",L210&lt;=60,"Very Long")</f>
        <v>Medium</v>
      </c>
      <c r="N210" s="2" t="s">
        <v>30</v>
      </c>
      <c r="O210" s="3">
        <v>6.1</v>
      </c>
    </row>
    <row r="211" spans="1:15" x14ac:dyDescent="0.25">
      <c r="A211" s="4" t="s">
        <v>268</v>
      </c>
      <c r="B211" s="5">
        <v>30</v>
      </c>
      <c r="C211" t="str" cm="1">
        <f t="array" ref="C211">_xlfn.IFS(B211&lt;=30,"Young",B211&lt;=50,"Middle-aged",B211&gt;50,"Older")</f>
        <v>Young</v>
      </c>
      <c r="D211" s="5" t="s">
        <v>19</v>
      </c>
      <c r="E211" s="5" t="s">
        <v>24</v>
      </c>
      <c r="F211" s="5">
        <f t="shared" si="15"/>
        <v>0</v>
      </c>
      <c r="G211" s="5">
        <f t="shared" si="12"/>
        <v>0</v>
      </c>
      <c r="H211" s="5">
        <f t="shared" si="13"/>
        <v>1</v>
      </c>
      <c r="I211" s="5">
        <f t="shared" si="14"/>
        <v>0</v>
      </c>
      <c r="J211" s="5">
        <v>850</v>
      </c>
      <c r="K211" s="5" t="s">
        <v>59</v>
      </c>
      <c r="L211" s="5">
        <v>58</v>
      </c>
      <c r="M211" t="str" cm="1">
        <f t="array" ref="M211">_xlfn.IFS(L211&lt;=14,"Short",L211&lt;=30,"Medium",L211&lt;=45,"Long",L211&lt;=60,"Very Long")</f>
        <v>Very Long</v>
      </c>
      <c r="N211" s="5" t="s">
        <v>150</v>
      </c>
      <c r="O211" s="6">
        <v>6.5</v>
      </c>
    </row>
    <row r="212" spans="1:15" x14ac:dyDescent="0.25">
      <c r="A212" s="1" t="s">
        <v>269</v>
      </c>
      <c r="B212" s="2">
        <v>49</v>
      </c>
      <c r="C212" t="str" cm="1">
        <f t="array" ref="C212">_xlfn.IFS(B212&lt;=30,"Young",B212&lt;=50,"Middle-aged",B212&gt;50,"Older")</f>
        <v>Middle-aged</v>
      </c>
      <c r="D212" s="2" t="s">
        <v>19</v>
      </c>
      <c r="E212" s="2" t="s">
        <v>33</v>
      </c>
      <c r="F212" s="2">
        <f t="shared" si="15"/>
        <v>0</v>
      </c>
      <c r="G212" s="2">
        <f t="shared" si="12"/>
        <v>0</v>
      </c>
      <c r="H212" s="2">
        <f t="shared" si="13"/>
        <v>0</v>
      </c>
      <c r="I212" s="2">
        <f t="shared" si="14"/>
        <v>1</v>
      </c>
      <c r="J212" s="2">
        <v>50</v>
      </c>
      <c r="K212" s="2" t="s">
        <v>49</v>
      </c>
      <c r="L212" s="2">
        <v>44</v>
      </c>
      <c r="M212" t="str" cm="1">
        <f t="array" ref="M212">_xlfn.IFS(L212&lt;=14,"Short",L212&lt;=30,"Medium",L212&lt;=45,"Long",L212&lt;=60,"Very Long")</f>
        <v>Long</v>
      </c>
      <c r="N212" s="2" t="s">
        <v>91</v>
      </c>
      <c r="O212" s="3">
        <v>7.9</v>
      </c>
    </row>
    <row r="213" spans="1:15" x14ac:dyDescent="0.25">
      <c r="A213" s="4" t="s">
        <v>270</v>
      </c>
      <c r="B213" s="5">
        <v>24</v>
      </c>
      <c r="C213" t="str" cm="1">
        <f t="array" ref="C213">_xlfn.IFS(B213&lt;=30,"Young",B213&lt;=50,"Middle-aged",B213&gt;50,"Older")</f>
        <v>Young</v>
      </c>
      <c r="D213" s="5" t="s">
        <v>10</v>
      </c>
      <c r="E213" s="5" t="s">
        <v>33</v>
      </c>
      <c r="F213" s="5">
        <f t="shared" si="15"/>
        <v>0</v>
      </c>
      <c r="G213" s="5">
        <f t="shared" si="12"/>
        <v>0</v>
      </c>
      <c r="H213" s="5">
        <f t="shared" si="13"/>
        <v>0</v>
      </c>
      <c r="I213" s="5">
        <f t="shared" si="14"/>
        <v>1</v>
      </c>
      <c r="J213" s="5">
        <v>100</v>
      </c>
      <c r="K213" s="5" t="s">
        <v>49</v>
      </c>
      <c r="L213" s="5">
        <v>43</v>
      </c>
      <c r="M213" t="str" cm="1">
        <f t="array" ref="M213">_xlfn.IFS(L213&lt;=14,"Short",L213&lt;=30,"Medium",L213&lt;=45,"Long",L213&lt;=60,"Very Long")</f>
        <v>Long</v>
      </c>
      <c r="N213" s="5" t="s">
        <v>13</v>
      </c>
      <c r="O213" s="6">
        <v>8.8000000000000007</v>
      </c>
    </row>
    <row r="214" spans="1:15" x14ac:dyDescent="0.25">
      <c r="A214" s="1" t="s">
        <v>271</v>
      </c>
      <c r="B214" s="2">
        <v>76</v>
      </c>
      <c r="C214" t="str" cm="1">
        <f t="array" ref="C214">_xlfn.IFS(B214&lt;=30,"Young",B214&lt;=50,"Middle-aged",B214&gt;50,"Older")</f>
        <v>Older</v>
      </c>
      <c r="D214" s="2" t="s">
        <v>19</v>
      </c>
      <c r="E214" s="2" t="s">
        <v>11</v>
      </c>
      <c r="F214" s="2">
        <f t="shared" si="15"/>
        <v>0</v>
      </c>
      <c r="G214" s="2">
        <f t="shared" si="12"/>
        <v>0</v>
      </c>
      <c r="H214" s="2">
        <f t="shared" si="13"/>
        <v>0</v>
      </c>
      <c r="I214" s="2">
        <f t="shared" si="14"/>
        <v>0</v>
      </c>
      <c r="J214" s="2">
        <v>50</v>
      </c>
      <c r="K214" s="2" t="s">
        <v>84</v>
      </c>
      <c r="L214" s="2">
        <v>25</v>
      </c>
      <c r="M214" t="str" cm="1">
        <f t="array" ref="M214">_xlfn.IFS(L214&lt;=14,"Short",L214&lt;=30,"Medium",L214&lt;=45,"Long",L214&lt;=60,"Very Long")</f>
        <v>Medium</v>
      </c>
      <c r="N214" s="2" t="s">
        <v>85</v>
      </c>
      <c r="O214" s="3">
        <v>6.8</v>
      </c>
    </row>
    <row r="215" spans="1:15" x14ac:dyDescent="0.25">
      <c r="A215" s="4" t="s">
        <v>272</v>
      </c>
      <c r="B215" s="5">
        <v>68</v>
      </c>
      <c r="C215" t="str" cm="1">
        <f t="array" ref="C215">_xlfn.IFS(B215&lt;=30,"Young",B215&lt;=50,"Middle-aged",B215&gt;50,"Older")</f>
        <v>Older</v>
      </c>
      <c r="D215" s="5" t="s">
        <v>19</v>
      </c>
      <c r="E215" s="5" t="s">
        <v>11</v>
      </c>
      <c r="F215" s="5">
        <f t="shared" si="15"/>
        <v>0</v>
      </c>
      <c r="G215" s="5">
        <f t="shared" si="12"/>
        <v>0</v>
      </c>
      <c r="H215" s="5">
        <f t="shared" si="13"/>
        <v>0</v>
      </c>
      <c r="I215" s="5">
        <f t="shared" si="14"/>
        <v>0</v>
      </c>
      <c r="J215" s="5">
        <v>500</v>
      </c>
      <c r="K215" s="5" t="s">
        <v>51</v>
      </c>
      <c r="L215" s="5">
        <v>14</v>
      </c>
      <c r="M215" t="str" cm="1">
        <f t="array" ref="M215">_xlfn.IFS(L215&lt;=14,"Short",L215&lt;=30,"Medium",L215&lt;=45,"Long",L215&lt;=60,"Very Long")</f>
        <v>Short</v>
      </c>
      <c r="N215" s="5" t="s">
        <v>13</v>
      </c>
      <c r="O215" s="6">
        <v>6.3</v>
      </c>
    </row>
    <row r="216" spans="1:15" x14ac:dyDescent="0.25">
      <c r="A216" s="1" t="s">
        <v>273</v>
      </c>
      <c r="B216" s="2">
        <v>39</v>
      </c>
      <c r="C216" t="str" cm="1">
        <f t="array" ref="C216">_xlfn.IFS(B216&lt;=30,"Young",B216&lt;=50,"Middle-aged",B216&gt;50,"Older")</f>
        <v>Middle-aged</v>
      </c>
      <c r="D216" s="2" t="s">
        <v>19</v>
      </c>
      <c r="E216" s="2" t="s">
        <v>33</v>
      </c>
      <c r="F216" s="2">
        <f t="shared" si="15"/>
        <v>0</v>
      </c>
      <c r="G216" s="2">
        <f t="shared" si="12"/>
        <v>0</v>
      </c>
      <c r="H216" s="2">
        <f t="shared" si="13"/>
        <v>0</v>
      </c>
      <c r="I216" s="2">
        <f t="shared" si="14"/>
        <v>1</v>
      </c>
      <c r="J216" s="2">
        <v>100</v>
      </c>
      <c r="K216" s="2" t="s">
        <v>47</v>
      </c>
      <c r="L216" s="2">
        <v>42</v>
      </c>
      <c r="M216" t="str" cm="1">
        <f t="array" ref="M216">_xlfn.IFS(L216&lt;=14,"Short",L216&lt;=30,"Medium",L216&lt;=45,"Long",L216&lt;=60,"Very Long")</f>
        <v>Long</v>
      </c>
      <c r="N216" s="2" t="s">
        <v>13</v>
      </c>
      <c r="O216" s="3">
        <v>7</v>
      </c>
    </row>
    <row r="217" spans="1:15" x14ac:dyDescent="0.25">
      <c r="A217" s="4" t="s">
        <v>274</v>
      </c>
      <c r="B217" s="5">
        <v>45</v>
      </c>
      <c r="C217" t="str" cm="1">
        <f t="array" ref="C217">_xlfn.IFS(B217&lt;=30,"Young",B217&lt;=50,"Middle-aged",B217&gt;50,"Older")</f>
        <v>Middle-aged</v>
      </c>
      <c r="D217" s="5" t="s">
        <v>10</v>
      </c>
      <c r="E217" s="5" t="s">
        <v>33</v>
      </c>
      <c r="F217" s="5">
        <f t="shared" si="15"/>
        <v>0</v>
      </c>
      <c r="G217" s="5">
        <f t="shared" si="12"/>
        <v>0</v>
      </c>
      <c r="H217" s="5">
        <f t="shared" si="13"/>
        <v>0</v>
      </c>
      <c r="I217" s="5">
        <f t="shared" si="14"/>
        <v>1</v>
      </c>
      <c r="J217" s="5">
        <v>50</v>
      </c>
      <c r="K217" s="5" t="s">
        <v>49</v>
      </c>
      <c r="L217" s="5">
        <v>50</v>
      </c>
      <c r="M217" t="str" cm="1">
        <f t="array" ref="M217">_xlfn.IFS(L217&lt;=14,"Short",L217&lt;=30,"Medium",L217&lt;=45,"Long",L217&lt;=60,"Very Long")</f>
        <v>Very Long</v>
      </c>
      <c r="N217" s="5" t="s">
        <v>30</v>
      </c>
      <c r="O217" s="6">
        <v>7.9</v>
      </c>
    </row>
    <row r="218" spans="1:15" x14ac:dyDescent="0.25">
      <c r="A218" s="1" t="s">
        <v>275</v>
      </c>
      <c r="B218" s="2">
        <v>19</v>
      </c>
      <c r="C218" t="str" cm="1">
        <f t="array" ref="C218">_xlfn.IFS(B218&lt;=30,"Young",B218&lt;=50,"Middle-aged",B218&gt;50,"Older")</f>
        <v>Young</v>
      </c>
      <c r="D218" s="2" t="s">
        <v>19</v>
      </c>
      <c r="E218" s="2" t="s">
        <v>33</v>
      </c>
      <c r="F218" s="2">
        <f t="shared" si="15"/>
        <v>0</v>
      </c>
      <c r="G218" s="2">
        <f t="shared" si="12"/>
        <v>0</v>
      </c>
      <c r="H218" s="2">
        <f t="shared" si="13"/>
        <v>0</v>
      </c>
      <c r="I218" s="2">
        <f t="shared" si="14"/>
        <v>1</v>
      </c>
      <c r="J218" s="2">
        <v>250</v>
      </c>
      <c r="K218" s="2" t="s">
        <v>49</v>
      </c>
      <c r="L218" s="2">
        <v>8</v>
      </c>
      <c r="M218" t="str" cm="1">
        <f t="array" ref="M218">_xlfn.IFS(L218&lt;=14,"Short",L218&lt;=30,"Medium",L218&lt;=45,"Long",L218&lt;=60,"Very Long")</f>
        <v>Short</v>
      </c>
      <c r="N218" s="2" t="s">
        <v>91</v>
      </c>
      <c r="O218" s="3">
        <v>4.8</v>
      </c>
    </row>
    <row r="219" spans="1:15" x14ac:dyDescent="0.25">
      <c r="A219" s="4" t="s">
        <v>276</v>
      </c>
      <c r="B219" s="5">
        <v>59</v>
      </c>
      <c r="C219" t="str" cm="1">
        <f t="array" ref="C219">_xlfn.IFS(B219&lt;=30,"Young",B219&lt;=50,"Middle-aged",B219&gt;50,"Older")</f>
        <v>Older</v>
      </c>
      <c r="D219" s="5" t="s">
        <v>19</v>
      </c>
      <c r="E219" s="5" t="s">
        <v>24</v>
      </c>
      <c r="F219" s="5">
        <f t="shared" si="15"/>
        <v>0</v>
      </c>
      <c r="G219" s="5">
        <f t="shared" si="12"/>
        <v>0</v>
      </c>
      <c r="H219" s="5">
        <f t="shared" si="13"/>
        <v>1</v>
      </c>
      <c r="I219" s="5">
        <f t="shared" si="14"/>
        <v>0</v>
      </c>
      <c r="J219" s="5">
        <v>50</v>
      </c>
      <c r="K219" s="5" t="s">
        <v>39</v>
      </c>
      <c r="L219" s="5">
        <v>49</v>
      </c>
      <c r="M219" t="str" cm="1">
        <f t="array" ref="M219">_xlfn.IFS(L219&lt;=14,"Short",L219&lt;=30,"Medium",L219&lt;=45,"Long",L219&lt;=60,"Very Long")</f>
        <v>Very Long</v>
      </c>
      <c r="N219" s="5" t="s">
        <v>13</v>
      </c>
      <c r="O219" s="6">
        <v>3.6</v>
      </c>
    </row>
    <row r="220" spans="1:15" x14ac:dyDescent="0.25">
      <c r="A220" s="1" t="s">
        <v>277</v>
      </c>
      <c r="B220" s="2">
        <v>62</v>
      </c>
      <c r="C220" t="str" cm="1">
        <f t="array" ref="C220">_xlfn.IFS(B220&lt;=30,"Young",B220&lt;=50,"Middle-aged",B220&gt;50,"Older")</f>
        <v>Older</v>
      </c>
      <c r="D220" s="2" t="s">
        <v>10</v>
      </c>
      <c r="E220" s="2" t="s">
        <v>33</v>
      </c>
      <c r="F220" s="2">
        <f t="shared" si="15"/>
        <v>0</v>
      </c>
      <c r="G220" s="2">
        <f t="shared" si="12"/>
        <v>0</v>
      </c>
      <c r="H220" s="2">
        <f t="shared" si="13"/>
        <v>0</v>
      </c>
      <c r="I220" s="2">
        <f t="shared" si="14"/>
        <v>1</v>
      </c>
      <c r="J220" s="2">
        <v>500</v>
      </c>
      <c r="K220" s="2" t="s">
        <v>49</v>
      </c>
      <c r="L220" s="2">
        <v>24</v>
      </c>
      <c r="M220" t="str" cm="1">
        <f t="array" ref="M220">_xlfn.IFS(L220&lt;=14,"Short",L220&lt;=30,"Medium",L220&lt;=45,"Long",L220&lt;=60,"Very Long")</f>
        <v>Medium</v>
      </c>
      <c r="N220" s="2" t="s">
        <v>30</v>
      </c>
      <c r="O220" s="3">
        <v>6.2</v>
      </c>
    </row>
    <row r="221" spans="1:15" x14ac:dyDescent="0.25">
      <c r="A221" s="4" t="s">
        <v>278</v>
      </c>
      <c r="B221" s="5">
        <v>79</v>
      </c>
      <c r="C221" t="str" cm="1">
        <f t="array" ref="C221">_xlfn.IFS(B221&lt;=30,"Young",B221&lt;=50,"Middle-aged",B221&gt;50,"Older")</f>
        <v>Older</v>
      </c>
      <c r="D221" s="5" t="s">
        <v>19</v>
      </c>
      <c r="E221" s="5" t="s">
        <v>20</v>
      </c>
      <c r="F221" s="5">
        <f t="shared" si="15"/>
        <v>0</v>
      </c>
      <c r="G221" s="5">
        <f t="shared" si="12"/>
        <v>1</v>
      </c>
      <c r="H221" s="5">
        <f t="shared" si="13"/>
        <v>0</v>
      </c>
      <c r="I221" s="5">
        <f t="shared" si="14"/>
        <v>0</v>
      </c>
      <c r="J221" s="5">
        <v>500</v>
      </c>
      <c r="K221" s="5" t="s">
        <v>37</v>
      </c>
      <c r="L221" s="5">
        <v>21</v>
      </c>
      <c r="M221" t="str" cm="1">
        <f t="array" ref="M221">_xlfn.IFS(L221&lt;=14,"Short",L221&lt;=30,"Medium",L221&lt;=45,"Long",L221&lt;=60,"Very Long")</f>
        <v>Medium</v>
      </c>
      <c r="N221" s="5" t="s">
        <v>13</v>
      </c>
      <c r="O221" s="6">
        <v>5.2</v>
      </c>
    </row>
    <row r="222" spans="1:15" x14ac:dyDescent="0.25">
      <c r="A222" s="1" t="s">
        <v>279</v>
      </c>
      <c r="B222" s="2">
        <v>74</v>
      </c>
      <c r="C222" t="str" cm="1">
        <f t="array" ref="C222">_xlfn.IFS(B222&lt;=30,"Young",B222&lt;=50,"Middle-aged",B222&gt;50,"Older")</f>
        <v>Older</v>
      </c>
      <c r="D222" s="2" t="s">
        <v>10</v>
      </c>
      <c r="E222" s="2" t="s">
        <v>15</v>
      </c>
      <c r="F222" s="2">
        <f t="shared" si="15"/>
        <v>1</v>
      </c>
      <c r="G222" s="2">
        <f t="shared" si="12"/>
        <v>0</v>
      </c>
      <c r="H222" s="2">
        <f t="shared" si="13"/>
        <v>0</v>
      </c>
      <c r="I222" s="2">
        <f t="shared" si="14"/>
        <v>0</v>
      </c>
      <c r="J222" s="2">
        <v>100</v>
      </c>
      <c r="K222" s="2" t="s">
        <v>16</v>
      </c>
      <c r="L222" s="2">
        <v>59</v>
      </c>
      <c r="M222" t="str" cm="1">
        <f t="array" ref="M222">_xlfn.IFS(L222&lt;=14,"Short",L222&lt;=30,"Medium",L222&lt;=45,"Long",L222&lt;=60,"Very Long")</f>
        <v>Very Long</v>
      </c>
      <c r="N222" s="2" t="s">
        <v>17</v>
      </c>
      <c r="O222" s="3">
        <v>6.2</v>
      </c>
    </row>
    <row r="223" spans="1:15" x14ac:dyDescent="0.25">
      <c r="A223" s="4" t="s">
        <v>280</v>
      </c>
      <c r="B223" s="5">
        <v>70</v>
      </c>
      <c r="C223" t="str" cm="1">
        <f t="array" ref="C223">_xlfn.IFS(B223&lt;=30,"Young",B223&lt;=50,"Middle-aged",B223&gt;50,"Older")</f>
        <v>Older</v>
      </c>
      <c r="D223" s="5" t="s">
        <v>10</v>
      </c>
      <c r="E223" s="5" t="s">
        <v>33</v>
      </c>
      <c r="F223" s="5">
        <f t="shared" si="15"/>
        <v>0</v>
      </c>
      <c r="G223" s="5">
        <f t="shared" si="12"/>
        <v>0</v>
      </c>
      <c r="H223" s="5">
        <f t="shared" si="13"/>
        <v>0</v>
      </c>
      <c r="I223" s="5">
        <f t="shared" si="14"/>
        <v>1</v>
      </c>
      <c r="J223" s="5">
        <v>50</v>
      </c>
      <c r="K223" s="5" t="s">
        <v>49</v>
      </c>
      <c r="L223" s="5">
        <v>11</v>
      </c>
      <c r="M223" t="str" cm="1">
        <f t="array" ref="M223">_xlfn.IFS(L223&lt;=14,"Short",L223&lt;=30,"Medium",L223&lt;=45,"Long",L223&lt;=60,"Very Long")</f>
        <v>Short</v>
      </c>
      <c r="N223" s="5" t="s">
        <v>91</v>
      </c>
      <c r="O223" s="6">
        <v>6.8</v>
      </c>
    </row>
    <row r="224" spans="1:15" x14ac:dyDescent="0.25">
      <c r="A224" s="1" t="s">
        <v>281</v>
      </c>
      <c r="B224" s="2">
        <v>23</v>
      </c>
      <c r="C224" t="str" cm="1">
        <f t="array" ref="C224">_xlfn.IFS(B224&lt;=30,"Young",B224&lt;=50,"Middle-aged",B224&gt;50,"Older")</f>
        <v>Young</v>
      </c>
      <c r="D224" s="2" t="s">
        <v>10</v>
      </c>
      <c r="E224" s="2" t="s">
        <v>15</v>
      </c>
      <c r="F224" s="2">
        <f t="shared" si="15"/>
        <v>1</v>
      </c>
      <c r="G224" s="2">
        <f t="shared" si="12"/>
        <v>0</v>
      </c>
      <c r="H224" s="2">
        <f t="shared" si="13"/>
        <v>0</v>
      </c>
      <c r="I224" s="2">
        <f t="shared" si="14"/>
        <v>0</v>
      </c>
      <c r="J224" s="2">
        <v>250</v>
      </c>
      <c r="K224" s="2" t="s">
        <v>44</v>
      </c>
      <c r="L224" s="2">
        <v>8</v>
      </c>
      <c r="M224" t="str" cm="1">
        <f t="array" ref="M224">_xlfn.IFS(L224&lt;=14,"Short",L224&lt;=30,"Medium",L224&lt;=45,"Long",L224&lt;=60,"Very Long")</f>
        <v>Short</v>
      </c>
      <c r="N224" s="2" t="s">
        <v>101</v>
      </c>
      <c r="O224" s="3">
        <v>6.3</v>
      </c>
    </row>
    <row r="225" spans="1:15" x14ac:dyDescent="0.25">
      <c r="A225" s="4" t="s">
        <v>282</v>
      </c>
      <c r="B225" s="5">
        <v>45</v>
      </c>
      <c r="C225" t="str" cm="1">
        <f t="array" ref="C225">_xlfn.IFS(B225&lt;=30,"Young",B225&lt;=50,"Middle-aged",B225&gt;50,"Older")</f>
        <v>Middle-aged</v>
      </c>
      <c r="D225" s="5" t="s">
        <v>10</v>
      </c>
      <c r="E225" s="5" t="s">
        <v>24</v>
      </c>
      <c r="F225" s="5">
        <f t="shared" si="15"/>
        <v>0</v>
      </c>
      <c r="G225" s="5">
        <f t="shared" si="12"/>
        <v>0</v>
      </c>
      <c r="H225" s="5">
        <f t="shared" si="13"/>
        <v>1</v>
      </c>
      <c r="I225" s="5">
        <f t="shared" si="14"/>
        <v>0</v>
      </c>
      <c r="J225" s="5">
        <v>100</v>
      </c>
      <c r="K225" s="5" t="s">
        <v>59</v>
      </c>
      <c r="L225" s="5">
        <v>33</v>
      </c>
      <c r="M225" t="str" cm="1">
        <f t="array" ref="M225">_xlfn.IFS(L225&lt;=14,"Short",L225&lt;=30,"Medium",L225&lt;=45,"Long",L225&lt;=60,"Very Long")</f>
        <v>Long</v>
      </c>
      <c r="N225" s="5" t="s">
        <v>60</v>
      </c>
      <c r="O225" s="6">
        <v>9.1999999999999993</v>
      </c>
    </row>
    <row r="226" spans="1:15" x14ac:dyDescent="0.25">
      <c r="A226" s="1" t="s">
        <v>283</v>
      </c>
      <c r="B226" s="2">
        <v>45</v>
      </c>
      <c r="C226" t="str" cm="1">
        <f t="array" ref="C226">_xlfn.IFS(B226&lt;=30,"Young",B226&lt;=50,"Middle-aged",B226&gt;50,"Older")</f>
        <v>Middle-aged</v>
      </c>
      <c r="D226" s="2" t="s">
        <v>10</v>
      </c>
      <c r="E226" s="2" t="s">
        <v>15</v>
      </c>
      <c r="F226" s="2">
        <f t="shared" si="15"/>
        <v>1</v>
      </c>
      <c r="G226" s="2">
        <f t="shared" si="12"/>
        <v>0</v>
      </c>
      <c r="H226" s="2">
        <f t="shared" si="13"/>
        <v>0</v>
      </c>
      <c r="I226" s="2">
        <f t="shared" si="14"/>
        <v>0</v>
      </c>
      <c r="J226" s="2">
        <v>850</v>
      </c>
      <c r="K226" s="2" t="s">
        <v>63</v>
      </c>
      <c r="L226" s="2">
        <v>18</v>
      </c>
      <c r="M226" t="str" cm="1">
        <f t="array" ref="M226">_xlfn.IFS(L226&lt;=14,"Short",L226&lt;=30,"Medium",L226&lt;=45,"Long",L226&lt;=60,"Very Long")</f>
        <v>Medium</v>
      </c>
      <c r="N226" s="2" t="s">
        <v>110</v>
      </c>
      <c r="O226" s="3">
        <v>7.5</v>
      </c>
    </row>
    <row r="227" spans="1:15" x14ac:dyDescent="0.25">
      <c r="A227" s="4" t="s">
        <v>284</v>
      </c>
      <c r="B227" s="5">
        <v>61</v>
      </c>
      <c r="C227" t="str" cm="1">
        <f t="array" ref="C227">_xlfn.IFS(B227&lt;=30,"Young",B227&lt;=50,"Middle-aged",B227&gt;50,"Older")</f>
        <v>Older</v>
      </c>
      <c r="D227" s="5" t="s">
        <v>19</v>
      </c>
      <c r="E227" s="5" t="s">
        <v>24</v>
      </c>
      <c r="F227" s="5">
        <f t="shared" si="15"/>
        <v>0</v>
      </c>
      <c r="G227" s="5">
        <f t="shared" si="12"/>
        <v>0</v>
      </c>
      <c r="H227" s="5">
        <f t="shared" si="13"/>
        <v>1</v>
      </c>
      <c r="I227" s="5">
        <f t="shared" si="14"/>
        <v>0</v>
      </c>
      <c r="J227" s="5">
        <v>250</v>
      </c>
      <c r="K227" s="5" t="s">
        <v>39</v>
      </c>
      <c r="L227" s="5">
        <v>7</v>
      </c>
      <c r="M227" t="str" cm="1">
        <f t="array" ref="M227">_xlfn.IFS(L227&lt;=14,"Short",L227&lt;=30,"Medium",L227&lt;=45,"Long",L227&lt;=60,"Very Long")</f>
        <v>Short</v>
      </c>
      <c r="N227" s="5" t="s">
        <v>136</v>
      </c>
      <c r="O227" s="6">
        <v>7.5</v>
      </c>
    </row>
    <row r="228" spans="1:15" x14ac:dyDescent="0.25">
      <c r="A228" s="1" t="s">
        <v>285</v>
      </c>
      <c r="B228" s="2">
        <v>61</v>
      </c>
      <c r="C228" t="str" cm="1">
        <f t="array" ref="C228">_xlfn.IFS(B228&lt;=30,"Young",B228&lt;=50,"Middle-aged",B228&gt;50,"Older")</f>
        <v>Older</v>
      </c>
      <c r="D228" s="2" t="s">
        <v>10</v>
      </c>
      <c r="E228" s="2" t="s">
        <v>20</v>
      </c>
      <c r="F228" s="2">
        <f t="shared" si="15"/>
        <v>0</v>
      </c>
      <c r="G228" s="2">
        <f t="shared" si="12"/>
        <v>1</v>
      </c>
      <c r="H228" s="2">
        <f t="shared" si="13"/>
        <v>0</v>
      </c>
      <c r="I228" s="2">
        <f t="shared" si="14"/>
        <v>0</v>
      </c>
      <c r="J228" s="2">
        <v>100</v>
      </c>
      <c r="K228" s="2" t="s">
        <v>37</v>
      </c>
      <c r="L228" s="2">
        <v>28</v>
      </c>
      <c r="M228" t="str" cm="1">
        <f t="array" ref="M228">_xlfn.IFS(L228&lt;=14,"Short",L228&lt;=30,"Medium",L228&lt;=45,"Long",L228&lt;=60,"Very Long")</f>
        <v>Medium</v>
      </c>
      <c r="N228" s="2" t="s">
        <v>13</v>
      </c>
      <c r="O228" s="3">
        <v>7.9</v>
      </c>
    </row>
    <row r="229" spans="1:15" x14ac:dyDescent="0.25">
      <c r="A229" s="4" t="s">
        <v>286</v>
      </c>
      <c r="B229" s="5">
        <v>37</v>
      </c>
      <c r="C229" t="str" cm="1">
        <f t="array" ref="C229">_xlfn.IFS(B229&lt;=30,"Young",B229&lt;=50,"Middle-aged",B229&gt;50,"Older")</f>
        <v>Middle-aged</v>
      </c>
      <c r="D229" s="5" t="s">
        <v>10</v>
      </c>
      <c r="E229" s="5" t="s">
        <v>24</v>
      </c>
      <c r="F229" s="5">
        <f t="shared" si="15"/>
        <v>0</v>
      </c>
      <c r="G229" s="5">
        <f t="shared" si="12"/>
        <v>0</v>
      </c>
      <c r="H229" s="5">
        <f t="shared" si="13"/>
        <v>1</v>
      </c>
      <c r="I229" s="5">
        <f t="shared" si="14"/>
        <v>0</v>
      </c>
      <c r="J229" s="5">
        <v>250</v>
      </c>
      <c r="K229" s="5" t="s">
        <v>39</v>
      </c>
      <c r="L229" s="5">
        <v>41</v>
      </c>
      <c r="M229" t="str" cm="1">
        <f t="array" ref="M229">_xlfn.IFS(L229&lt;=14,"Short",L229&lt;=30,"Medium",L229&lt;=45,"Long",L229&lt;=60,"Very Long")</f>
        <v>Long</v>
      </c>
      <c r="N229" s="5" t="s">
        <v>85</v>
      </c>
      <c r="O229" s="6">
        <v>5.3</v>
      </c>
    </row>
    <row r="230" spans="1:15" x14ac:dyDescent="0.25">
      <c r="A230" s="1" t="s">
        <v>287</v>
      </c>
      <c r="B230" s="2">
        <v>47</v>
      </c>
      <c r="C230" t="str" cm="1">
        <f t="array" ref="C230">_xlfn.IFS(B230&lt;=30,"Young",B230&lt;=50,"Middle-aged",B230&gt;50,"Older")</f>
        <v>Middle-aged</v>
      </c>
      <c r="D230" s="2" t="s">
        <v>19</v>
      </c>
      <c r="E230" s="2" t="s">
        <v>24</v>
      </c>
      <c r="F230" s="2">
        <f t="shared" si="15"/>
        <v>0</v>
      </c>
      <c r="G230" s="2">
        <f t="shared" si="12"/>
        <v>0</v>
      </c>
      <c r="H230" s="2">
        <f t="shared" si="13"/>
        <v>1</v>
      </c>
      <c r="I230" s="2">
        <f t="shared" si="14"/>
        <v>0</v>
      </c>
      <c r="J230" s="2">
        <v>500</v>
      </c>
      <c r="K230" s="2" t="s">
        <v>59</v>
      </c>
      <c r="L230" s="2">
        <v>20</v>
      </c>
      <c r="M230" t="str" cm="1">
        <f t="array" ref="M230">_xlfn.IFS(L230&lt;=14,"Short",L230&lt;=30,"Medium",L230&lt;=45,"Long",L230&lt;=60,"Very Long")</f>
        <v>Medium</v>
      </c>
      <c r="N230" s="2" t="s">
        <v>150</v>
      </c>
      <c r="O230" s="3">
        <v>8.6</v>
      </c>
    </row>
    <row r="231" spans="1:15" x14ac:dyDescent="0.25">
      <c r="A231" s="4" t="s">
        <v>288</v>
      </c>
      <c r="B231" s="5">
        <v>79</v>
      </c>
      <c r="C231" t="str" cm="1">
        <f t="array" ref="C231">_xlfn.IFS(B231&lt;=30,"Young",B231&lt;=50,"Middle-aged",B231&gt;50,"Older")</f>
        <v>Older</v>
      </c>
      <c r="D231" s="5" t="s">
        <v>10</v>
      </c>
      <c r="E231" s="5" t="s">
        <v>11</v>
      </c>
      <c r="F231" s="5">
        <f t="shared" si="15"/>
        <v>0</v>
      </c>
      <c r="G231" s="5">
        <f t="shared" si="12"/>
        <v>0</v>
      </c>
      <c r="H231" s="5">
        <f t="shared" si="13"/>
        <v>0</v>
      </c>
      <c r="I231" s="5">
        <f t="shared" si="14"/>
        <v>0</v>
      </c>
      <c r="J231" s="5">
        <v>100</v>
      </c>
      <c r="K231" s="5" t="s">
        <v>12</v>
      </c>
      <c r="L231" s="5">
        <v>59</v>
      </c>
      <c r="M231" t="str" cm="1">
        <f t="array" ref="M231">_xlfn.IFS(L231&lt;=14,"Short",L231&lt;=30,"Medium",L231&lt;=45,"Long",L231&lt;=60,"Very Long")</f>
        <v>Very Long</v>
      </c>
      <c r="N231" s="5" t="s">
        <v>13</v>
      </c>
      <c r="O231" s="6">
        <v>6.9</v>
      </c>
    </row>
    <row r="232" spans="1:15" x14ac:dyDescent="0.25">
      <c r="A232" s="1" t="s">
        <v>289</v>
      </c>
      <c r="B232" s="2">
        <v>28</v>
      </c>
      <c r="C232" t="str" cm="1">
        <f t="array" ref="C232">_xlfn.IFS(B232&lt;=30,"Young",B232&lt;=50,"Middle-aged",B232&gt;50,"Older")</f>
        <v>Young</v>
      </c>
      <c r="D232" s="2" t="s">
        <v>19</v>
      </c>
      <c r="E232" s="2" t="s">
        <v>33</v>
      </c>
      <c r="F232" s="2">
        <f t="shared" si="15"/>
        <v>0</v>
      </c>
      <c r="G232" s="2">
        <f t="shared" si="12"/>
        <v>0</v>
      </c>
      <c r="H232" s="2">
        <f t="shared" si="13"/>
        <v>0</v>
      </c>
      <c r="I232" s="2">
        <f t="shared" si="14"/>
        <v>1</v>
      </c>
      <c r="J232" s="2">
        <v>500</v>
      </c>
      <c r="K232" s="2" t="s">
        <v>34</v>
      </c>
      <c r="L232" s="2">
        <v>56</v>
      </c>
      <c r="M232" t="str" cm="1">
        <f t="array" ref="M232">_xlfn.IFS(L232&lt;=14,"Short",L232&lt;=30,"Medium",L232&lt;=45,"Long",L232&lt;=60,"Very Long")</f>
        <v>Very Long</v>
      </c>
      <c r="N232" s="2" t="s">
        <v>35</v>
      </c>
      <c r="O232" s="3">
        <v>8</v>
      </c>
    </row>
    <row r="233" spans="1:15" x14ac:dyDescent="0.25">
      <c r="A233" s="4" t="s">
        <v>290</v>
      </c>
      <c r="B233" s="5">
        <v>75</v>
      </c>
      <c r="C233" t="str" cm="1">
        <f t="array" ref="C233">_xlfn.IFS(B233&lt;=30,"Young",B233&lt;=50,"Middle-aged",B233&gt;50,"Older")</f>
        <v>Older</v>
      </c>
      <c r="D233" s="5" t="s">
        <v>19</v>
      </c>
      <c r="E233" s="5" t="s">
        <v>33</v>
      </c>
      <c r="F233" s="5">
        <f t="shared" si="15"/>
        <v>0</v>
      </c>
      <c r="G233" s="5">
        <f t="shared" si="12"/>
        <v>0</v>
      </c>
      <c r="H233" s="5">
        <f t="shared" si="13"/>
        <v>0</v>
      </c>
      <c r="I233" s="5">
        <f t="shared" si="14"/>
        <v>1</v>
      </c>
      <c r="J233" s="5">
        <v>500</v>
      </c>
      <c r="K233" s="5" t="s">
        <v>49</v>
      </c>
      <c r="L233" s="5">
        <v>8</v>
      </c>
      <c r="M233" t="str" cm="1">
        <f t="array" ref="M233">_xlfn.IFS(L233&lt;=14,"Short",L233&lt;=30,"Medium",L233&lt;=45,"Long",L233&lt;=60,"Very Long")</f>
        <v>Short</v>
      </c>
      <c r="N233" s="5" t="s">
        <v>13</v>
      </c>
      <c r="O233" s="6">
        <v>5.4</v>
      </c>
    </row>
    <row r="234" spans="1:15" x14ac:dyDescent="0.25">
      <c r="A234" s="1" t="s">
        <v>291</v>
      </c>
      <c r="B234" s="2">
        <v>72</v>
      </c>
      <c r="C234" t="str" cm="1">
        <f t="array" ref="C234">_xlfn.IFS(B234&lt;=30,"Young",B234&lt;=50,"Middle-aged",B234&gt;50,"Older")</f>
        <v>Older</v>
      </c>
      <c r="D234" s="2" t="s">
        <v>19</v>
      </c>
      <c r="E234" s="2" t="s">
        <v>20</v>
      </c>
      <c r="F234" s="2">
        <f t="shared" si="15"/>
        <v>0</v>
      </c>
      <c r="G234" s="2">
        <f t="shared" si="12"/>
        <v>1</v>
      </c>
      <c r="H234" s="2">
        <f t="shared" si="13"/>
        <v>0</v>
      </c>
      <c r="I234" s="2">
        <f t="shared" si="14"/>
        <v>0</v>
      </c>
      <c r="J234" s="2">
        <v>250</v>
      </c>
      <c r="K234" s="2" t="s">
        <v>21</v>
      </c>
      <c r="L234" s="2">
        <v>28</v>
      </c>
      <c r="M234" t="str" cm="1">
        <f t="array" ref="M234">_xlfn.IFS(L234&lt;=14,"Short",L234&lt;=30,"Medium",L234&lt;=45,"Long",L234&lt;=60,"Very Long")</f>
        <v>Medium</v>
      </c>
      <c r="N234" s="2" t="s">
        <v>28</v>
      </c>
      <c r="O234" s="3">
        <v>4.7</v>
      </c>
    </row>
    <row r="235" spans="1:15" x14ac:dyDescent="0.25">
      <c r="A235" s="4" t="s">
        <v>292</v>
      </c>
      <c r="B235" s="5">
        <v>45</v>
      </c>
      <c r="C235" t="str" cm="1">
        <f t="array" ref="C235">_xlfn.IFS(B235&lt;=30,"Young",B235&lt;=50,"Middle-aged",B235&gt;50,"Older")</f>
        <v>Middle-aged</v>
      </c>
      <c r="D235" s="5" t="s">
        <v>10</v>
      </c>
      <c r="E235" s="5" t="s">
        <v>20</v>
      </c>
      <c r="F235" s="5">
        <f t="shared" si="15"/>
        <v>0</v>
      </c>
      <c r="G235" s="5">
        <f t="shared" si="12"/>
        <v>1</v>
      </c>
      <c r="H235" s="5">
        <f t="shared" si="13"/>
        <v>0</v>
      </c>
      <c r="I235" s="5">
        <f t="shared" si="14"/>
        <v>0</v>
      </c>
      <c r="J235" s="5">
        <v>250</v>
      </c>
      <c r="K235" s="5" t="s">
        <v>37</v>
      </c>
      <c r="L235" s="5">
        <v>38</v>
      </c>
      <c r="M235" t="str" cm="1">
        <f t="array" ref="M235">_xlfn.IFS(L235&lt;=14,"Short",L235&lt;=30,"Medium",L235&lt;=45,"Long",L235&lt;=60,"Very Long")</f>
        <v>Long</v>
      </c>
      <c r="N235" s="5" t="s">
        <v>173</v>
      </c>
      <c r="O235" s="6">
        <v>8.1999999999999993</v>
      </c>
    </row>
    <row r="236" spans="1:15" x14ac:dyDescent="0.25">
      <c r="A236" s="1" t="s">
        <v>293</v>
      </c>
      <c r="B236" s="2">
        <v>42</v>
      </c>
      <c r="C236" t="str" cm="1">
        <f t="array" ref="C236">_xlfn.IFS(B236&lt;=30,"Young",B236&lt;=50,"Middle-aged",B236&gt;50,"Older")</f>
        <v>Middle-aged</v>
      </c>
      <c r="D236" s="2" t="s">
        <v>10</v>
      </c>
      <c r="E236" s="2" t="s">
        <v>33</v>
      </c>
      <c r="F236" s="2">
        <f t="shared" si="15"/>
        <v>0</v>
      </c>
      <c r="G236" s="2">
        <f t="shared" si="12"/>
        <v>0</v>
      </c>
      <c r="H236" s="2">
        <f t="shared" si="13"/>
        <v>0</v>
      </c>
      <c r="I236" s="2">
        <f t="shared" si="14"/>
        <v>1</v>
      </c>
      <c r="J236" s="2">
        <v>500</v>
      </c>
      <c r="K236" s="2" t="s">
        <v>34</v>
      </c>
      <c r="L236" s="2">
        <v>34</v>
      </c>
      <c r="M236" t="str" cm="1">
        <f t="array" ref="M236">_xlfn.IFS(L236&lt;=14,"Short",L236&lt;=30,"Medium",L236&lt;=45,"Long",L236&lt;=60,"Very Long")</f>
        <v>Long</v>
      </c>
      <c r="N236" s="2" t="s">
        <v>95</v>
      </c>
      <c r="O236" s="3">
        <v>7.6</v>
      </c>
    </row>
    <row r="237" spans="1:15" x14ac:dyDescent="0.25">
      <c r="A237" s="4" t="s">
        <v>294</v>
      </c>
      <c r="B237" s="5">
        <v>56</v>
      </c>
      <c r="C237" t="str" cm="1">
        <f t="array" ref="C237">_xlfn.IFS(B237&lt;=30,"Young",B237&lt;=50,"Middle-aged",B237&gt;50,"Older")</f>
        <v>Older</v>
      </c>
      <c r="D237" s="5" t="s">
        <v>10</v>
      </c>
      <c r="E237" s="5" t="s">
        <v>11</v>
      </c>
      <c r="F237" s="5">
        <f t="shared" si="15"/>
        <v>0</v>
      </c>
      <c r="G237" s="5">
        <f t="shared" si="12"/>
        <v>0</v>
      </c>
      <c r="H237" s="5">
        <f t="shared" si="13"/>
        <v>0</v>
      </c>
      <c r="I237" s="5">
        <f t="shared" si="14"/>
        <v>0</v>
      </c>
      <c r="J237" s="5">
        <v>50</v>
      </c>
      <c r="K237" s="5" t="s">
        <v>51</v>
      </c>
      <c r="L237" s="5">
        <v>22</v>
      </c>
      <c r="M237" t="str" cm="1">
        <f t="array" ref="M237">_xlfn.IFS(L237&lt;=14,"Short",L237&lt;=30,"Medium",L237&lt;=45,"Long",L237&lt;=60,"Very Long")</f>
        <v>Medium</v>
      </c>
      <c r="N237" s="5" t="s">
        <v>41</v>
      </c>
      <c r="O237" s="6">
        <v>5.6</v>
      </c>
    </row>
    <row r="238" spans="1:15" x14ac:dyDescent="0.25">
      <c r="A238" s="1" t="s">
        <v>295</v>
      </c>
      <c r="B238" s="2">
        <v>79</v>
      </c>
      <c r="C238" t="str" cm="1">
        <f t="array" ref="C238">_xlfn.IFS(B238&lt;=30,"Young",B238&lt;=50,"Middle-aged",B238&gt;50,"Older")</f>
        <v>Older</v>
      </c>
      <c r="D238" s="2" t="s">
        <v>19</v>
      </c>
      <c r="E238" s="2" t="s">
        <v>33</v>
      </c>
      <c r="F238" s="2">
        <f t="shared" si="15"/>
        <v>0</v>
      </c>
      <c r="G238" s="2">
        <f t="shared" si="12"/>
        <v>0</v>
      </c>
      <c r="H238" s="2">
        <f t="shared" si="13"/>
        <v>0</v>
      </c>
      <c r="I238" s="2">
        <f t="shared" si="14"/>
        <v>1</v>
      </c>
      <c r="J238" s="2">
        <v>50</v>
      </c>
      <c r="K238" s="2" t="s">
        <v>47</v>
      </c>
      <c r="L238" s="2">
        <v>23</v>
      </c>
      <c r="M238" t="str" cm="1">
        <f t="array" ref="M238">_xlfn.IFS(L238&lt;=14,"Short",L238&lt;=30,"Medium",L238&lt;=45,"Long",L238&lt;=60,"Very Long")</f>
        <v>Medium</v>
      </c>
      <c r="N238" s="2" t="s">
        <v>225</v>
      </c>
      <c r="O238" s="3">
        <v>5.7</v>
      </c>
    </row>
    <row r="239" spans="1:15" x14ac:dyDescent="0.25">
      <c r="A239" s="4" t="s">
        <v>296</v>
      </c>
      <c r="B239" s="5">
        <v>50</v>
      </c>
      <c r="C239" t="str" cm="1">
        <f t="array" ref="C239">_xlfn.IFS(B239&lt;=30,"Young",B239&lt;=50,"Middle-aged",B239&gt;50,"Older")</f>
        <v>Middle-aged</v>
      </c>
      <c r="D239" s="5" t="s">
        <v>10</v>
      </c>
      <c r="E239" s="5" t="s">
        <v>11</v>
      </c>
      <c r="F239" s="5">
        <f t="shared" si="15"/>
        <v>0</v>
      </c>
      <c r="G239" s="5">
        <f t="shared" si="12"/>
        <v>0</v>
      </c>
      <c r="H239" s="5">
        <f t="shared" si="13"/>
        <v>0</v>
      </c>
      <c r="I239" s="5">
        <f t="shared" si="14"/>
        <v>0</v>
      </c>
      <c r="J239" s="5">
        <v>850</v>
      </c>
      <c r="K239" s="5" t="s">
        <v>51</v>
      </c>
      <c r="L239" s="5">
        <v>35</v>
      </c>
      <c r="M239" t="str" cm="1">
        <f t="array" ref="M239">_xlfn.IFS(L239&lt;=14,"Short",L239&lt;=30,"Medium",L239&lt;=45,"Long",L239&lt;=60,"Very Long")</f>
        <v>Long</v>
      </c>
      <c r="N239" s="5" t="s">
        <v>13</v>
      </c>
      <c r="O239" s="6">
        <v>8.6999999999999993</v>
      </c>
    </row>
    <row r="240" spans="1:15" x14ac:dyDescent="0.25">
      <c r="A240" s="1" t="s">
        <v>297</v>
      </c>
      <c r="B240" s="2">
        <v>18</v>
      </c>
      <c r="C240" t="str" cm="1">
        <f t="array" ref="C240">_xlfn.IFS(B240&lt;=30,"Young",B240&lt;=50,"Middle-aged",B240&gt;50,"Older")</f>
        <v>Young</v>
      </c>
      <c r="D240" s="2" t="s">
        <v>10</v>
      </c>
      <c r="E240" s="2" t="s">
        <v>20</v>
      </c>
      <c r="F240" s="2">
        <f t="shared" si="15"/>
        <v>0</v>
      </c>
      <c r="G240" s="2">
        <f t="shared" si="12"/>
        <v>1</v>
      </c>
      <c r="H240" s="2">
        <f t="shared" si="13"/>
        <v>0</v>
      </c>
      <c r="I240" s="2">
        <f t="shared" si="14"/>
        <v>0</v>
      </c>
      <c r="J240" s="2">
        <v>50</v>
      </c>
      <c r="K240" s="2" t="s">
        <v>55</v>
      </c>
      <c r="L240" s="2">
        <v>23</v>
      </c>
      <c r="M240" t="str" cm="1">
        <f t="array" ref="M240">_xlfn.IFS(L240&lt;=14,"Short",L240&lt;=30,"Medium",L240&lt;=45,"Long",L240&lt;=60,"Very Long")</f>
        <v>Medium</v>
      </c>
      <c r="N240" s="2" t="s">
        <v>148</v>
      </c>
      <c r="O240" s="3">
        <v>5.2</v>
      </c>
    </row>
    <row r="241" spans="1:15" x14ac:dyDescent="0.25">
      <c r="A241" s="4" t="s">
        <v>298</v>
      </c>
      <c r="B241" s="5">
        <v>74</v>
      </c>
      <c r="C241" t="str" cm="1">
        <f t="array" ref="C241">_xlfn.IFS(B241&lt;=30,"Young",B241&lt;=50,"Middle-aged",B241&gt;50,"Older")</f>
        <v>Older</v>
      </c>
      <c r="D241" s="5" t="s">
        <v>10</v>
      </c>
      <c r="E241" s="5" t="s">
        <v>15</v>
      </c>
      <c r="F241" s="5">
        <f t="shared" si="15"/>
        <v>1</v>
      </c>
      <c r="G241" s="5">
        <f t="shared" si="12"/>
        <v>0</v>
      </c>
      <c r="H241" s="5">
        <f t="shared" si="13"/>
        <v>0</v>
      </c>
      <c r="I241" s="5">
        <f t="shared" si="14"/>
        <v>0</v>
      </c>
      <c r="J241" s="5">
        <v>100</v>
      </c>
      <c r="K241" s="5" t="s">
        <v>63</v>
      </c>
      <c r="L241" s="5">
        <v>53</v>
      </c>
      <c r="M241" t="str" cm="1">
        <f t="array" ref="M241">_xlfn.IFS(L241&lt;=14,"Short",L241&lt;=30,"Medium",L241&lt;=45,"Long",L241&lt;=60,"Very Long")</f>
        <v>Very Long</v>
      </c>
      <c r="N241" s="5" t="s">
        <v>64</v>
      </c>
      <c r="O241" s="6">
        <v>9.5</v>
      </c>
    </row>
    <row r="242" spans="1:15" x14ac:dyDescent="0.25">
      <c r="A242" s="1" t="s">
        <v>299</v>
      </c>
      <c r="B242" s="2">
        <v>44</v>
      </c>
      <c r="C242" t="str" cm="1">
        <f t="array" ref="C242">_xlfn.IFS(B242&lt;=30,"Young",B242&lt;=50,"Middle-aged",B242&gt;50,"Older")</f>
        <v>Middle-aged</v>
      </c>
      <c r="D242" s="2" t="s">
        <v>19</v>
      </c>
      <c r="E242" s="2" t="s">
        <v>20</v>
      </c>
      <c r="F242" s="2">
        <f t="shared" si="15"/>
        <v>0</v>
      </c>
      <c r="G242" s="2">
        <f t="shared" si="12"/>
        <v>1</v>
      </c>
      <c r="H242" s="2">
        <f t="shared" si="13"/>
        <v>0</v>
      </c>
      <c r="I242" s="2">
        <f t="shared" si="14"/>
        <v>0</v>
      </c>
      <c r="J242" s="2">
        <v>50</v>
      </c>
      <c r="K242" s="2" t="s">
        <v>21</v>
      </c>
      <c r="L242" s="2">
        <v>50</v>
      </c>
      <c r="M242" t="str" cm="1">
        <f t="array" ref="M242">_xlfn.IFS(L242&lt;=14,"Short",L242&lt;=30,"Medium",L242&lt;=45,"Long",L242&lt;=60,"Very Long")</f>
        <v>Very Long</v>
      </c>
      <c r="N242" s="2" t="s">
        <v>41</v>
      </c>
      <c r="O242" s="3">
        <v>5.6</v>
      </c>
    </row>
    <row r="243" spans="1:15" x14ac:dyDescent="0.25">
      <c r="A243" s="4" t="s">
        <v>300</v>
      </c>
      <c r="B243" s="5">
        <v>79</v>
      </c>
      <c r="C243" t="str" cm="1">
        <f t="array" ref="C243">_xlfn.IFS(B243&lt;=30,"Young",B243&lt;=50,"Middle-aged",B243&gt;50,"Older")</f>
        <v>Older</v>
      </c>
      <c r="D243" s="5" t="s">
        <v>19</v>
      </c>
      <c r="E243" s="5" t="s">
        <v>20</v>
      </c>
      <c r="F243" s="5">
        <f t="shared" si="15"/>
        <v>0</v>
      </c>
      <c r="G243" s="5">
        <f t="shared" si="12"/>
        <v>1</v>
      </c>
      <c r="H243" s="5">
        <f t="shared" si="13"/>
        <v>0</v>
      </c>
      <c r="I243" s="5">
        <f t="shared" si="14"/>
        <v>0</v>
      </c>
      <c r="J243" s="5">
        <v>850</v>
      </c>
      <c r="K243" s="5" t="s">
        <v>21</v>
      </c>
      <c r="L243" s="5">
        <v>23</v>
      </c>
      <c r="M243" t="str" cm="1">
        <f t="array" ref="M243">_xlfn.IFS(L243&lt;=14,"Short",L243&lt;=30,"Medium",L243&lt;=45,"Long",L243&lt;=60,"Very Long")</f>
        <v>Medium</v>
      </c>
      <c r="N243" s="5" t="s">
        <v>28</v>
      </c>
      <c r="O243" s="6">
        <v>8</v>
      </c>
    </row>
    <row r="244" spans="1:15" x14ac:dyDescent="0.25">
      <c r="A244" s="1" t="s">
        <v>301</v>
      </c>
      <c r="B244" s="2">
        <v>74</v>
      </c>
      <c r="C244" t="str" cm="1">
        <f t="array" ref="C244">_xlfn.IFS(B244&lt;=30,"Young",B244&lt;=50,"Middle-aged",B244&gt;50,"Older")</f>
        <v>Older</v>
      </c>
      <c r="D244" s="2" t="s">
        <v>10</v>
      </c>
      <c r="E244" s="2" t="s">
        <v>24</v>
      </c>
      <c r="F244" s="2">
        <f t="shared" si="15"/>
        <v>0</v>
      </c>
      <c r="G244" s="2">
        <f t="shared" si="12"/>
        <v>0</v>
      </c>
      <c r="H244" s="2">
        <f t="shared" si="13"/>
        <v>1</v>
      </c>
      <c r="I244" s="2">
        <f t="shared" si="14"/>
        <v>0</v>
      </c>
      <c r="J244" s="2">
        <v>100</v>
      </c>
      <c r="K244" s="2" t="s">
        <v>39</v>
      </c>
      <c r="L244" s="2">
        <v>26</v>
      </c>
      <c r="M244" t="str" cm="1">
        <f t="array" ref="M244">_xlfn.IFS(L244&lt;=14,"Short",L244&lt;=30,"Medium",L244&lt;=45,"Long",L244&lt;=60,"Very Long")</f>
        <v>Medium</v>
      </c>
      <c r="N244" s="2" t="s">
        <v>85</v>
      </c>
      <c r="O244" s="3">
        <v>6.5</v>
      </c>
    </row>
    <row r="245" spans="1:15" x14ac:dyDescent="0.25">
      <c r="A245" s="4" t="s">
        <v>302</v>
      </c>
      <c r="B245" s="5">
        <v>69</v>
      </c>
      <c r="C245" t="str" cm="1">
        <f t="array" ref="C245">_xlfn.IFS(B245&lt;=30,"Young",B245&lt;=50,"Middle-aged",B245&gt;50,"Older")</f>
        <v>Older</v>
      </c>
      <c r="D245" s="5" t="s">
        <v>10</v>
      </c>
      <c r="E245" s="5" t="s">
        <v>24</v>
      </c>
      <c r="F245" s="5">
        <f t="shared" si="15"/>
        <v>0</v>
      </c>
      <c r="G245" s="5">
        <f t="shared" si="12"/>
        <v>0</v>
      </c>
      <c r="H245" s="5">
        <f t="shared" si="13"/>
        <v>1</v>
      </c>
      <c r="I245" s="5">
        <f t="shared" si="14"/>
        <v>0</v>
      </c>
      <c r="J245" s="5">
        <v>850</v>
      </c>
      <c r="K245" s="5" t="s">
        <v>59</v>
      </c>
      <c r="L245" s="5">
        <v>28</v>
      </c>
      <c r="M245" t="str" cm="1">
        <f t="array" ref="M245">_xlfn.IFS(L245&lt;=14,"Short",L245&lt;=30,"Medium",L245&lt;=45,"Long",L245&lt;=60,"Very Long")</f>
        <v>Medium</v>
      </c>
      <c r="N245" s="5" t="s">
        <v>60</v>
      </c>
      <c r="O245" s="6">
        <v>7.9</v>
      </c>
    </row>
    <row r="246" spans="1:15" x14ac:dyDescent="0.25">
      <c r="A246" s="1" t="s">
        <v>303</v>
      </c>
      <c r="B246" s="2">
        <v>30</v>
      </c>
      <c r="C246" t="str" cm="1">
        <f t="array" ref="C246">_xlfn.IFS(B246&lt;=30,"Young",B246&lt;=50,"Middle-aged",B246&gt;50,"Older")</f>
        <v>Young</v>
      </c>
      <c r="D246" s="2" t="s">
        <v>10</v>
      </c>
      <c r="E246" s="2" t="s">
        <v>24</v>
      </c>
      <c r="F246" s="2">
        <f t="shared" si="15"/>
        <v>0</v>
      </c>
      <c r="G246" s="2">
        <f t="shared" si="12"/>
        <v>0</v>
      </c>
      <c r="H246" s="2">
        <f t="shared" si="13"/>
        <v>1</v>
      </c>
      <c r="I246" s="2">
        <f t="shared" si="14"/>
        <v>0</v>
      </c>
      <c r="J246" s="2">
        <v>50</v>
      </c>
      <c r="K246" s="2" t="s">
        <v>25</v>
      </c>
      <c r="L246" s="2">
        <v>49</v>
      </c>
      <c r="M246" t="str" cm="1">
        <f t="array" ref="M246">_xlfn.IFS(L246&lt;=14,"Short",L246&lt;=30,"Medium",L246&lt;=45,"Long",L246&lt;=60,"Very Long")</f>
        <v>Very Long</v>
      </c>
      <c r="N246" s="2" t="s">
        <v>26</v>
      </c>
      <c r="O246" s="3">
        <v>6.2</v>
      </c>
    </row>
    <row r="247" spans="1:15" x14ac:dyDescent="0.25">
      <c r="A247" s="4" t="s">
        <v>304</v>
      </c>
      <c r="B247" s="5">
        <v>58</v>
      </c>
      <c r="C247" t="str" cm="1">
        <f t="array" ref="C247">_xlfn.IFS(B247&lt;=30,"Young",B247&lt;=50,"Middle-aged",B247&gt;50,"Older")</f>
        <v>Older</v>
      </c>
      <c r="D247" s="5" t="s">
        <v>10</v>
      </c>
      <c r="E247" s="5" t="s">
        <v>24</v>
      </c>
      <c r="F247" s="5">
        <f t="shared" si="15"/>
        <v>0</v>
      </c>
      <c r="G247" s="5">
        <f t="shared" si="12"/>
        <v>0</v>
      </c>
      <c r="H247" s="5">
        <f t="shared" si="13"/>
        <v>1</v>
      </c>
      <c r="I247" s="5">
        <f t="shared" si="14"/>
        <v>0</v>
      </c>
      <c r="J247" s="5">
        <v>250</v>
      </c>
      <c r="K247" s="5" t="s">
        <v>59</v>
      </c>
      <c r="L247" s="5">
        <v>16</v>
      </c>
      <c r="M247" t="str" cm="1">
        <f t="array" ref="M247">_xlfn.IFS(L247&lt;=14,"Short",L247&lt;=30,"Medium",L247&lt;=45,"Long",L247&lt;=60,"Very Long")</f>
        <v>Medium</v>
      </c>
      <c r="N247" s="5" t="s">
        <v>150</v>
      </c>
      <c r="O247" s="6">
        <v>6.8</v>
      </c>
    </row>
    <row r="248" spans="1:15" x14ac:dyDescent="0.25">
      <c r="A248" s="1" t="s">
        <v>305</v>
      </c>
      <c r="B248" s="2">
        <v>20</v>
      </c>
      <c r="C248" t="str" cm="1">
        <f t="array" ref="C248">_xlfn.IFS(B248&lt;=30,"Young",B248&lt;=50,"Middle-aged",B248&gt;50,"Older")</f>
        <v>Young</v>
      </c>
      <c r="D248" s="2" t="s">
        <v>19</v>
      </c>
      <c r="E248" s="2" t="s">
        <v>11</v>
      </c>
      <c r="F248" s="2">
        <f t="shared" si="15"/>
        <v>0</v>
      </c>
      <c r="G248" s="2">
        <f t="shared" si="12"/>
        <v>0</v>
      </c>
      <c r="H248" s="2">
        <f t="shared" si="13"/>
        <v>0</v>
      </c>
      <c r="I248" s="2">
        <f t="shared" si="14"/>
        <v>0</v>
      </c>
      <c r="J248" s="2">
        <v>50</v>
      </c>
      <c r="K248" s="2" t="s">
        <v>51</v>
      </c>
      <c r="L248" s="2">
        <v>34</v>
      </c>
      <c r="M248" t="str" cm="1">
        <f t="array" ref="M248">_xlfn.IFS(L248&lt;=14,"Short",L248&lt;=30,"Medium",L248&lt;=45,"Long",L248&lt;=60,"Very Long")</f>
        <v>Long</v>
      </c>
      <c r="N248" s="2" t="s">
        <v>52</v>
      </c>
      <c r="O248" s="3">
        <v>7.1</v>
      </c>
    </row>
    <row r="249" spans="1:15" x14ac:dyDescent="0.25">
      <c r="A249" s="4" t="s">
        <v>306</v>
      </c>
      <c r="B249" s="5">
        <v>56</v>
      </c>
      <c r="C249" t="str" cm="1">
        <f t="array" ref="C249">_xlfn.IFS(B249&lt;=30,"Young",B249&lt;=50,"Middle-aged",B249&gt;50,"Older")</f>
        <v>Older</v>
      </c>
      <c r="D249" s="5" t="s">
        <v>19</v>
      </c>
      <c r="E249" s="5" t="s">
        <v>33</v>
      </c>
      <c r="F249" s="5">
        <f t="shared" si="15"/>
        <v>0</v>
      </c>
      <c r="G249" s="5">
        <f t="shared" si="12"/>
        <v>0</v>
      </c>
      <c r="H249" s="5">
        <f t="shared" si="13"/>
        <v>0</v>
      </c>
      <c r="I249" s="5">
        <f t="shared" si="14"/>
        <v>1</v>
      </c>
      <c r="J249" s="5">
        <v>50</v>
      </c>
      <c r="K249" s="5" t="s">
        <v>49</v>
      </c>
      <c r="L249" s="5">
        <v>42</v>
      </c>
      <c r="M249" t="str" cm="1">
        <f t="array" ref="M249">_xlfn.IFS(L249&lt;=14,"Short",L249&lt;=30,"Medium",L249&lt;=45,"Long",L249&lt;=60,"Very Long")</f>
        <v>Long</v>
      </c>
      <c r="N249" s="5" t="s">
        <v>13</v>
      </c>
      <c r="O249" s="6">
        <v>5.5</v>
      </c>
    </row>
    <row r="250" spans="1:15" x14ac:dyDescent="0.25">
      <c r="A250" s="1" t="s">
        <v>307</v>
      </c>
      <c r="B250" s="2">
        <v>23</v>
      </c>
      <c r="C250" t="str" cm="1">
        <f t="array" ref="C250">_xlfn.IFS(B250&lt;=30,"Young",B250&lt;=50,"Middle-aged",B250&gt;50,"Older")</f>
        <v>Young</v>
      </c>
      <c r="D250" s="2" t="s">
        <v>19</v>
      </c>
      <c r="E250" s="2" t="s">
        <v>15</v>
      </c>
      <c r="F250" s="2">
        <f t="shared" si="15"/>
        <v>1</v>
      </c>
      <c r="G250" s="2">
        <f t="shared" si="12"/>
        <v>0</v>
      </c>
      <c r="H250" s="2">
        <f t="shared" si="13"/>
        <v>0</v>
      </c>
      <c r="I250" s="2">
        <f t="shared" si="14"/>
        <v>0</v>
      </c>
      <c r="J250" s="2">
        <v>500</v>
      </c>
      <c r="K250" s="2" t="s">
        <v>16</v>
      </c>
      <c r="L250" s="2">
        <v>57</v>
      </c>
      <c r="M250" t="str" cm="1">
        <f t="array" ref="M250">_xlfn.IFS(L250&lt;=14,"Short",L250&lt;=30,"Medium",L250&lt;=45,"Long",L250&lt;=60,"Very Long")</f>
        <v>Very Long</v>
      </c>
      <c r="N250" s="2" t="s">
        <v>308</v>
      </c>
      <c r="O250" s="3">
        <v>8.1</v>
      </c>
    </row>
    <row r="251" spans="1:15" x14ac:dyDescent="0.25">
      <c r="A251" s="4" t="s">
        <v>309</v>
      </c>
      <c r="B251" s="5">
        <v>25</v>
      </c>
      <c r="C251" t="str" cm="1">
        <f t="array" ref="C251">_xlfn.IFS(B251&lt;=30,"Young",B251&lt;=50,"Middle-aged",B251&gt;50,"Older")</f>
        <v>Young</v>
      </c>
      <c r="D251" s="5" t="s">
        <v>19</v>
      </c>
      <c r="E251" s="5" t="s">
        <v>20</v>
      </c>
      <c r="F251" s="5">
        <f t="shared" si="15"/>
        <v>0</v>
      </c>
      <c r="G251" s="5">
        <f t="shared" si="12"/>
        <v>1</v>
      </c>
      <c r="H251" s="5">
        <f t="shared" si="13"/>
        <v>0</v>
      </c>
      <c r="I251" s="5">
        <f t="shared" si="14"/>
        <v>0</v>
      </c>
      <c r="J251" s="5">
        <v>50</v>
      </c>
      <c r="K251" s="5" t="s">
        <v>55</v>
      </c>
      <c r="L251" s="5">
        <v>35</v>
      </c>
      <c r="M251" t="str" cm="1">
        <f t="array" ref="M251">_xlfn.IFS(L251&lt;=14,"Short",L251&lt;=30,"Medium",L251&lt;=45,"Long",L251&lt;=60,"Very Long")</f>
        <v>Long</v>
      </c>
      <c r="N251" s="5" t="s">
        <v>78</v>
      </c>
      <c r="O251" s="6">
        <v>6.2</v>
      </c>
    </row>
    <row r="252" spans="1:15" x14ac:dyDescent="0.25">
      <c r="A252" s="1" t="s">
        <v>310</v>
      </c>
      <c r="B252" s="2">
        <v>44</v>
      </c>
      <c r="C252" t="str" cm="1">
        <f t="array" ref="C252">_xlfn.IFS(B252&lt;=30,"Young",B252&lt;=50,"Middle-aged",B252&gt;50,"Older")</f>
        <v>Middle-aged</v>
      </c>
      <c r="D252" s="2" t="s">
        <v>10</v>
      </c>
      <c r="E252" s="2" t="s">
        <v>11</v>
      </c>
      <c r="F252" s="2">
        <f t="shared" si="15"/>
        <v>0</v>
      </c>
      <c r="G252" s="2">
        <f t="shared" si="12"/>
        <v>0</v>
      </c>
      <c r="H252" s="2">
        <f t="shared" si="13"/>
        <v>0</v>
      </c>
      <c r="I252" s="2">
        <f t="shared" si="14"/>
        <v>0</v>
      </c>
      <c r="J252" s="2">
        <v>850</v>
      </c>
      <c r="K252" s="2" t="s">
        <v>12</v>
      </c>
      <c r="L252" s="2">
        <v>40</v>
      </c>
      <c r="M252" t="str" cm="1">
        <f t="array" ref="M252">_xlfn.IFS(L252&lt;=14,"Short",L252&lt;=30,"Medium",L252&lt;=45,"Long",L252&lt;=60,"Very Long")</f>
        <v>Long</v>
      </c>
      <c r="N252" s="2" t="s">
        <v>30</v>
      </c>
      <c r="O252" s="3">
        <v>6.7</v>
      </c>
    </row>
    <row r="253" spans="1:15" x14ac:dyDescent="0.25">
      <c r="A253" s="4" t="s">
        <v>311</v>
      </c>
      <c r="B253" s="5">
        <v>26</v>
      </c>
      <c r="C253" t="str" cm="1">
        <f t="array" ref="C253">_xlfn.IFS(B253&lt;=30,"Young",B253&lt;=50,"Middle-aged",B253&gt;50,"Older")</f>
        <v>Young</v>
      </c>
      <c r="D253" s="5" t="s">
        <v>10</v>
      </c>
      <c r="E253" s="5" t="s">
        <v>15</v>
      </c>
      <c r="F253" s="5">
        <f t="shared" si="15"/>
        <v>1</v>
      </c>
      <c r="G253" s="5">
        <f t="shared" si="12"/>
        <v>0</v>
      </c>
      <c r="H253" s="5">
        <f t="shared" si="13"/>
        <v>0</v>
      </c>
      <c r="I253" s="5">
        <f t="shared" si="14"/>
        <v>0</v>
      </c>
      <c r="J253" s="5">
        <v>50</v>
      </c>
      <c r="K253" s="5" t="s">
        <v>44</v>
      </c>
      <c r="L253" s="5">
        <v>23</v>
      </c>
      <c r="M253" t="str" cm="1">
        <f t="array" ref="M253">_xlfn.IFS(L253&lt;=14,"Short",L253&lt;=30,"Medium",L253&lt;=45,"Long",L253&lt;=60,"Very Long")</f>
        <v>Medium</v>
      </c>
      <c r="N253" s="5" t="s">
        <v>95</v>
      </c>
      <c r="O253" s="6">
        <v>5.5</v>
      </c>
    </row>
    <row r="254" spans="1:15" x14ac:dyDescent="0.25">
      <c r="A254" s="1" t="s">
        <v>312</v>
      </c>
      <c r="B254" s="2">
        <v>79</v>
      </c>
      <c r="C254" t="str" cm="1">
        <f t="array" ref="C254">_xlfn.IFS(B254&lt;=30,"Young",B254&lt;=50,"Middle-aged",B254&gt;50,"Older")</f>
        <v>Older</v>
      </c>
      <c r="D254" s="2" t="s">
        <v>10</v>
      </c>
      <c r="E254" s="2" t="s">
        <v>11</v>
      </c>
      <c r="F254" s="2">
        <f t="shared" si="15"/>
        <v>0</v>
      </c>
      <c r="G254" s="2">
        <f t="shared" si="12"/>
        <v>0</v>
      </c>
      <c r="H254" s="2">
        <f t="shared" si="13"/>
        <v>0</v>
      </c>
      <c r="I254" s="2">
        <f t="shared" si="14"/>
        <v>0</v>
      </c>
      <c r="J254" s="2">
        <v>50</v>
      </c>
      <c r="K254" s="2" t="s">
        <v>51</v>
      </c>
      <c r="L254" s="2">
        <v>52</v>
      </c>
      <c r="M254" t="str" cm="1">
        <f t="array" ref="M254">_xlfn.IFS(L254&lt;=14,"Short",L254&lt;=30,"Medium",L254&lt;=45,"Long",L254&lt;=60,"Very Long")</f>
        <v>Very Long</v>
      </c>
      <c r="N254" s="2" t="s">
        <v>13</v>
      </c>
      <c r="O254" s="3">
        <v>3.2</v>
      </c>
    </row>
    <row r="255" spans="1:15" x14ac:dyDescent="0.25">
      <c r="A255" s="4" t="s">
        <v>313</v>
      </c>
      <c r="B255" s="5">
        <v>54</v>
      </c>
      <c r="C255" t="str" cm="1">
        <f t="array" ref="C255">_xlfn.IFS(B255&lt;=30,"Young",B255&lt;=50,"Middle-aged",B255&gt;50,"Older")</f>
        <v>Older</v>
      </c>
      <c r="D255" s="5" t="s">
        <v>19</v>
      </c>
      <c r="E255" s="5" t="s">
        <v>11</v>
      </c>
      <c r="F255" s="5">
        <f t="shared" si="15"/>
        <v>0</v>
      </c>
      <c r="G255" s="5">
        <f t="shared" si="12"/>
        <v>0</v>
      </c>
      <c r="H255" s="5">
        <f t="shared" si="13"/>
        <v>0</v>
      </c>
      <c r="I255" s="5">
        <f t="shared" si="14"/>
        <v>0</v>
      </c>
      <c r="J255" s="5">
        <v>250</v>
      </c>
      <c r="K255" s="5" t="s">
        <v>12</v>
      </c>
      <c r="L255" s="5">
        <v>49</v>
      </c>
      <c r="M255" t="str" cm="1">
        <f t="array" ref="M255">_xlfn.IFS(L255&lt;=14,"Short",L255&lt;=30,"Medium",L255&lt;=45,"Long",L255&lt;=60,"Very Long")</f>
        <v>Very Long</v>
      </c>
      <c r="N255" s="5" t="s">
        <v>120</v>
      </c>
      <c r="O255" s="6">
        <v>6.7</v>
      </c>
    </row>
    <row r="256" spans="1:15" x14ac:dyDescent="0.25">
      <c r="A256" s="1" t="s">
        <v>314</v>
      </c>
      <c r="B256" s="2">
        <v>50</v>
      </c>
      <c r="C256" t="str" cm="1">
        <f t="array" ref="C256">_xlfn.IFS(B256&lt;=30,"Young",B256&lt;=50,"Middle-aged",B256&gt;50,"Older")</f>
        <v>Middle-aged</v>
      </c>
      <c r="D256" s="2" t="s">
        <v>10</v>
      </c>
      <c r="E256" s="2" t="s">
        <v>20</v>
      </c>
      <c r="F256" s="2">
        <f t="shared" si="15"/>
        <v>0</v>
      </c>
      <c r="G256" s="2">
        <f t="shared" si="12"/>
        <v>1</v>
      </c>
      <c r="H256" s="2">
        <f t="shared" si="13"/>
        <v>0</v>
      </c>
      <c r="I256" s="2">
        <f t="shared" si="14"/>
        <v>0</v>
      </c>
      <c r="J256" s="2">
        <v>850</v>
      </c>
      <c r="K256" s="2" t="s">
        <v>55</v>
      </c>
      <c r="L256" s="2">
        <v>40</v>
      </c>
      <c r="M256" t="str" cm="1">
        <f t="array" ref="M256">_xlfn.IFS(L256&lt;=14,"Short",L256&lt;=30,"Medium",L256&lt;=45,"Long",L256&lt;=60,"Very Long")</f>
        <v>Long</v>
      </c>
      <c r="N256" s="2" t="s">
        <v>22</v>
      </c>
      <c r="O256" s="3">
        <v>10</v>
      </c>
    </row>
    <row r="257" spans="1:15" x14ac:dyDescent="0.25">
      <c r="A257" s="4" t="s">
        <v>315</v>
      </c>
      <c r="B257" s="5">
        <v>68</v>
      </c>
      <c r="C257" t="str" cm="1">
        <f t="array" ref="C257">_xlfn.IFS(B257&lt;=30,"Young",B257&lt;=50,"Middle-aged",B257&gt;50,"Older")</f>
        <v>Older</v>
      </c>
      <c r="D257" s="5" t="s">
        <v>19</v>
      </c>
      <c r="E257" s="5" t="s">
        <v>33</v>
      </c>
      <c r="F257" s="5">
        <f t="shared" si="15"/>
        <v>0</v>
      </c>
      <c r="G257" s="5">
        <f t="shared" si="12"/>
        <v>0</v>
      </c>
      <c r="H257" s="5">
        <f t="shared" si="13"/>
        <v>0</v>
      </c>
      <c r="I257" s="5">
        <f t="shared" si="14"/>
        <v>1</v>
      </c>
      <c r="J257" s="5">
        <v>100</v>
      </c>
      <c r="K257" s="5" t="s">
        <v>47</v>
      </c>
      <c r="L257" s="5">
        <v>34</v>
      </c>
      <c r="M257" t="str" cm="1">
        <f t="array" ref="M257">_xlfn.IFS(L257&lt;=14,"Short",L257&lt;=30,"Medium",L257&lt;=45,"Long",L257&lt;=60,"Very Long")</f>
        <v>Long</v>
      </c>
      <c r="N257" s="5" t="s">
        <v>225</v>
      </c>
      <c r="O257" s="6">
        <v>8.1999999999999993</v>
      </c>
    </row>
    <row r="258" spans="1:15" x14ac:dyDescent="0.25">
      <c r="A258" s="1" t="s">
        <v>316</v>
      </c>
      <c r="B258" s="2">
        <v>59</v>
      </c>
      <c r="C258" t="str" cm="1">
        <f t="array" ref="C258">_xlfn.IFS(B258&lt;=30,"Young",B258&lt;=50,"Middle-aged",B258&gt;50,"Older")</f>
        <v>Older</v>
      </c>
      <c r="D258" s="2" t="s">
        <v>19</v>
      </c>
      <c r="E258" s="2" t="s">
        <v>24</v>
      </c>
      <c r="F258" s="2">
        <f t="shared" si="15"/>
        <v>0</v>
      </c>
      <c r="G258" s="2">
        <f t="shared" ref="G258:G321" si="16">IF($E258="Depression",1,0)</f>
        <v>0</v>
      </c>
      <c r="H258" s="2">
        <f t="shared" ref="H258:H321" si="17">IF($E258="Diabetes",1,0)</f>
        <v>1</v>
      </c>
      <c r="I258" s="2">
        <f t="shared" ref="I258:I321" si="18">IF($E258="Pain relief",1,0)</f>
        <v>0</v>
      </c>
      <c r="J258" s="2">
        <v>850</v>
      </c>
      <c r="K258" s="2" t="s">
        <v>25</v>
      </c>
      <c r="L258" s="2">
        <v>59</v>
      </c>
      <c r="M258" t="str" cm="1">
        <f t="array" ref="M258">_xlfn.IFS(L258&lt;=14,"Short",L258&lt;=30,"Medium",L258&lt;=45,"Long",L258&lt;=60,"Very Long")</f>
        <v>Very Long</v>
      </c>
      <c r="N258" s="2" t="s">
        <v>70</v>
      </c>
      <c r="O258" s="3">
        <v>7</v>
      </c>
    </row>
    <row r="259" spans="1:15" x14ac:dyDescent="0.25">
      <c r="A259" s="4" t="s">
        <v>317</v>
      </c>
      <c r="B259" s="5">
        <v>61</v>
      </c>
      <c r="C259" t="str" cm="1">
        <f t="array" ref="C259">_xlfn.IFS(B259&lt;=30,"Young",B259&lt;=50,"Middle-aged",B259&gt;50,"Older")</f>
        <v>Older</v>
      </c>
      <c r="D259" s="5" t="s">
        <v>10</v>
      </c>
      <c r="E259" s="5" t="s">
        <v>33</v>
      </c>
      <c r="F259" s="5">
        <f t="shared" ref="F259:F322" si="19">IF($E259="Hypertension",1,0)</f>
        <v>0</v>
      </c>
      <c r="G259" s="5">
        <f t="shared" si="16"/>
        <v>0</v>
      </c>
      <c r="H259" s="5">
        <f t="shared" si="17"/>
        <v>0</v>
      </c>
      <c r="I259" s="5">
        <f t="shared" si="18"/>
        <v>1</v>
      </c>
      <c r="J259" s="5">
        <v>500</v>
      </c>
      <c r="K259" s="5" t="s">
        <v>49</v>
      </c>
      <c r="L259" s="5">
        <v>53</v>
      </c>
      <c r="M259" t="str" cm="1">
        <f t="array" ref="M259">_xlfn.IFS(L259&lt;=14,"Short",L259&lt;=30,"Medium",L259&lt;=45,"Long",L259&lt;=60,"Very Long")</f>
        <v>Very Long</v>
      </c>
      <c r="N259" s="5" t="s">
        <v>91</v>
      </c>
      <c r="O259" s="6">
        <v>6.6</v>
      </c>
    </row>
    <row r="260" spans="1:15" x14ac:dyDescent="0.25">
      <c r="A260" s="1" t="s">
        <v>318</v>
      </c>
      <c r="B260" s="2">
        <v>41</v>
      </c>
      <c r="C260" t="str" cm="1">
        <f t="array" ref="C260">_xlfn.IFS(B260&lt;=30,"Young",B260&lt;=50,"Middle-aged",B260&gt;50,"Older")</f>
        <v>Middle-aged</v>
      </c>
      <c r="D260" s="2" t="s">
        <v>10</v>
      </c>
      <c r="E260" s="2" t="s">
        <v>20</v>
      </c>
      <c r="F260" s="2">
        <f t="shared" si="19"/>
        <v>0</v>
      </c>
      <c r="G260" s="2">
        <f t="shared" si="16"/>
        <v>1</v>
      </c>
      <c r="H260" s="2">
        <f t="shared" si="17"/>
        <v>0</v>
      </c>
      <c r="I260" s="2">
        <f t="shared" si="18"/>
        <v>0</v>
      </c>
      <c r="J260" s="2">
        <v>50</v>
      </c>
      <c r="K260" s="2" t="s">
        <v>55</v>
      </c>
      <c r="L260" s="2">
        <v>59</v>
      </c>
      <c r="M260" t="str" cm="1">
        <f t="array" ref="M260">_xlfn.IFS(L260&lt;=14,"Short",L260&lt;=30,"Medium",L260&lt;=45,"Long",L260&lt;=60,"Very Long")</f>
        <v>Very Long</v>
      </c>
      <c r="N260" s="2" t="s">
        <v>22</v>
      </c>
      <c r="O260" s="3">
        <v>7</v>
      </c>
    </row>
    <row r="261" spans="1:15" x14ac:dyDescent="0.25">
      <c r="A261" s="4" t="s">
        <v>319</v>
      </c>
      <c r="B261" s="5">
        <v>32</v>
      </c>
      <c r="C261" t="str" cm="1">
        <f t="array" ref="C261">_xlfn.IFS(B261&lt;=30,"Young",B261&lt;=50,"Middle-aged",B261&gt;50,"Older")</f>
        <v>Middle-aged</v>
      </c>
      <c r="D261" s="5" t="s">
        <v>10</v>
      </c>
      <c r="E261" s="5" t="s">
        <v>20</v>
      </c>
      <c r="F261" s="5">
        <f t="shared" si="19"/>
        <v>0</v>
      </c>
      <c r="G261" s="5">
        <f t="shared" si="16"/>
        <v>1</v>
      </c>
      <c r="H261" s="5">
        <f t="shared" si="17"/>
        <v>0</v>
      </c>
      <c r="I261" s="5">
        <f t="shared" si="18"/>
        <v>0</v>
      </c>
      <c r="J261" s="5">
        <v>50</v>
      </c>
      <c r="K261" s="5" t="s">
        <v>37</v>
      </c>
      <c r="L261" s="5">
        <v>37</v>
      </c>
      <c r="M261" t="str" cm="1">
        <f t="array" ref="M261">_xlfn.IFS(L261&lt;=14,"Short",L261&lt;=30,"Medium",L261&lt;=45,"Long",L261&lt;=60,"Very Long")</f>
        <v>Long</v>
      </c>
      <c r="N261" s="5" t="s">
        <v>173</v>
      </c>
      <c r="O261" s="6">
        <v>7.8</v>
      </c>
    </row>
    <row r="262" spans="1:15" x14ac:dyDescent="0.25">
      <c r="A262" s="1" t="s">
        <v>320</v>
      </c>
      <c r="B262" s="2">
        <v>76</v>
      </c>
      <c r="C262" t="str" cm="1">
        <f t="array" ref="C262">_xlfn.IFS(B262&lt;=30,"Young",B262&lt;=50,"Middle-aged",B262&gt;50,"Older")</f>
        <v>Older</v>
      </c>
      <c r="D262" s="2" t="s">
        <v>19</v>
      </c>
      <c r="E262" s="2" t="s">
        <v>20</v>
      </c>
      <c r="F262" s="2">
        <f t="shared" si="19"/>
        <v>0</v>
      </c>
      <c r="G262" s="2">
        <f t="shared" si="16"/>
        <v>1</v>
      </c>
      <c r="H262" s="2">
        <f t="shared" si="17"/>
        <v>0</v>
      </c>
      <c r="I262" s="2">
        <f t="shared" si="18"/>
        <v>0</v>
      </c>
      <c r="J262" s="2">
        <v>500</v>
      </c>
      <c r="K262" s="2" t="s">
        <v>21</v>
      </c>
      <c r="L262" s="2">
        <v>22</v>
      </c>
      <c r="M262" t="str" cm="1">
        <f t="array" ref="M262">_xlfn.IFS(L262&lt;=14,"Short",L262&lt;=30,"Medium",L262&lt;=45,"Long",L262&lt;=60,"Very Long")</f>
        <v>Medium</v>
      </c>
      <c r="N262" s="2" t="s">
        <v>22</v>
      </c>
      <c r="O262" s="3">
        <v>5.2</v>
      </c>
    </row>
    <row r="263" spans="1:15" x14ac:dyDescent="0.25">
      <c r="A263" s="4" t="s">
        <v>321</v>
      </c>
      <c r="B263" s="5">
        <v>71</v>
      </c>
      <c r="C263" t="str" cm="1">
        <f t="array" ref="C263">_xlfn.IFS(B263&lt;=30,"Young",B263&lt;=50,"Middle-aged",B263&gt;50,"Older")</f>
        <v>Older</v>
      </c>
      <c r="D263" s="5" t="s">
        <v>10</v>
      </c>
      <c r="E263" s="5" t="s">
        <v>15</v>
      </c>
      <c r="F263" s="5">
        <f t="shared" si="19"/>
        <v>1</v>
      </c>
      <c r="G263" s="5">
        <f t="shared" si="16"/>
        <v>0</v>
      </c>
      <c r="H263" s="5">
        <f t="shared" si="17"/>
        <v>0</v>
      </c>
      <c r="I263" s="5">
        <f t="shared" si="18"/>
        <v>0</v>
      </c>
      <c r="J263" s="5">
        <v>100</v>
      </c>
      <c r="K263" s="5" t="s">
        <v>44</v>
      </c>
      <c r="L263" s="5">
        <v>56</v>
      </c>
      <c r="M263" t="str" cm="1">
        <f t="array" ref="M263">_xlfn.IFS(L263&lt;=14,"Short",L263&lt;=30,"Medium",L263&lt;=45,"Long",L263&lt;=60,"Very Long")</f>
        <v>Very Long</v>
      </c>
      <c r="N263" s="5" t="s">
        <v>30</v>
      </c>
      <c r="O263" s="6">
        <v>8.6999999999999993</v>
      </c>
    </row>
    <row r="264" spans="1:15" x14ac:dyDescent="0.25">
      <c r="A264" s="1" t="s">
        <v>322</v>
      </c>
      <c r="B264" s="2">
        <v>49</v>
      </c>
      <c r="C264" t="str" cm="1">
        <f t="array" ref="C264">_xlfn.IFS(B264&lt;=30,"Young",B264&lt;=50,"Middle-aged",B264&gt;50,"Older")</f>
        <v>Middle-aged</v>
      </c>
      <c r="D264" s="2" t="s">
        <v>19</v>
      </c>
      <c r="E264" s="2" t="s">
        <v>33</v>
      </c>
      <c r="F264" s="2">
        <f t="shared" si="19"/>
        <v>0</v>
      </c>
      <c r="G264" s="2">
        <f t="shared" si="16"/>
        <v>0</v>
      </c>
      <c r="H264" s="2">
        <f t="shared" si="17"/>
        <v>0</v>
      </c>
      <c r="I264" s="2">
        <f t="shared" si="18"/>
        <v>1</v>
      </c>
      <c r="J264" s="2">
        <v>500</v>
      </c>
      <c r="K264" s="2" t="s">
        <v>47</v>
      </c>
      <c r="L264" s="2">
        <v>53</v>
      </c>
      <c r="M264" t="str" cm="1">
        <f t="array" ref="M264">_xlfn.IFS(L264&lt;=14,"Short",L264&lt;=30,"Medium",L264&lt;=45,"Long",L264&lt;=60,"Very Long")</f>
        <v>Very Long</v>
      </c>
      <c r="N264" s="2" t="s">
        <v>13</v>
      </c>
      <c r="O264" s="3">
        <v>8.1</v>
      </c>
    </row>
    <row r="265" spans="1:15" x14ac:dyDescent="0.25">
      <c r="A265" s="4" t="s">
        <v>323</v>
      </c>
      <c r="B265" s="5">
        <v>49</v>
      </c>
      <c r="C265" t="str" cm="1">
        <f t="array" ref="C265">_xlfn.IFS(B265&lt;=30,"Young",B265&lt;=50,"Middle-aged",B265&gt;50,"Older")</f>
        <v>Middle-aged</v>
      </c>
      <c r="D265" s="5" t="s">
        <v>10</v>
      </c>
      <c r="E265" s="5" t="s">
        <v>33</v>
      </c>
      <c r="F265" s="5">
        <f t="shared" si="19"/>
        <v>0</v>
      </c>
      <c r="G265" s="5">
        <f t="shared" si="16"/>
        <v>0</v>
      </c>
      <c r="H265" s="5">
        <f t="shared" si="17"/>
        <v>0</v>
      </c>
      <c r="I265" s="5">
        <f t="shared" si="18"/>
        <v>1</v>
      </c>
      <c r="J265" s="5">
        <v>250</v>
      </c>
      <c r="K265" s="5" t="s">
        <v>49</v>
      </c>
      <c r="L265" s="5">
        <v>32</v>
      </c>
      <c r="M265" t="str" cm="1">
        <f t="array" ref="M265">_xlfn.IFS(L265&lt;=14,"Short",L265&lt;=30,"Medium",L265&lt;=45,"Long",L265&lt;=60,"Very Long")</f>
        <v>Long</v>
      </c>
      <c r="N265" s="5" t="s">
        <v>13</v>
      </c>
      <c r="O265" s="6">
        <v>8.1</v>
      </c>
    </row>
    <row r="266" spans="1:15" x14ac:dyDescent="0.25">
      <c r="A266" s="1" t="s">
        <v>324</v>
      </c>
      <c r="B266" s="2">
        <v>41</v>
      </c>
      <c r="C266" t="str" cm="1">
        <f t="array" ref="C266">_xlfn.IFS(B266&lt;=30,"Young",B266&lt;=50,"Middle-aged",B266&gt;50,"Older")</f>
        <v>Middle-aged</v>
      </c>
      <c r="D266" s="2" t="s">
        <v>19</v>
      </c>
      <c r="E266" s="2" t="s">
        <v>11</v>
      </c>
      <c r="F266" s="2">
        <f t="shared" si="19"/>
        <v>0</v>
      </c>
      <c r="G266" s="2">
        <f t="shared" si="16"/>
        <v>0</v>
      </c>
      <c r="H266" s="2">
        <f t="shared" si="17"/>
        <v>0</v>
      </c>
      <c r="I266" s="2">
        <f t="shared" si="18"/>
        <v>0</v>
      </c>
      <c r="J266" s="2">
        <v>850</v>
      </c>
      <c r="K266" s="2" t="s">
        <v>51</v>
      </c>
      <c r="L266" s="2">
        <v>51</v>
      </c>
      <c r="M266" t="str" cm="1">
        <f t="array" ref="M266">_xlfn.IFS(L266&lt;=14,"Short",L266&lt;=30,"Medium",L266&lt;=45,"Long",L266&lt;=60,"Very Long")</f>
        <v>Very Long</v>
      </c>
      <c r="N266" s="2" t="s">
        <v>41</v>
      </c>
      <c r="O266" s="3">
        <v>7.7</v>
      </c>
    </row>
    <row r="267" spans="1:15" x14ac:dyDescent="0.25">
      <c r="A267" s="4" t="s">
        <v>325</v>
      </c>
      <c r="B267" s="5">
        <v>58</v>
      </c>
      <c r="C267" t="str" cm="1">
        <f t="array" ref="C267">_xlfn.IFS(B267&lt;=30,"Young",B267&lt;=50,"Middle-aged",B267&gt;50,"Older")</f>
        <v>Older</v>
      </c>
      <c r="D267" s="5" t="s">
        <v>19</v>
      </c>
      <c r="E267" s="5" t="s">
        <v>11</v>
      </c>
      <c r="F267" s="5">
        <f t="shared" si="19"/>
        <v>0</v>
      </c>
      <c r="G267" s="5">
        <f t="shared" si="16"/>
        <v>0</v>
      </c>
      <c r="H267" s="5">
        <f t="shared" si="17"/>
        <v>0</v>
      </c>
      <c r="I267" s="5">
        <f t="shared" si="18"/>
        <v>0</v>
      </c>
      <c r="J267" s="5">
        <v>500</v>
      </c>
      <c r="K267" s="5" t="s">
        <v>12</v>
      </c>
      <c r="L267" s="5">
        <v>15</v>
      </c>
      <c r="M267" t="str" cm="1">
        <f t="array" ref="M267">_xlfn.IFS(L267&lt;=14,"Short",L267&lt;=30,"Medium",L267&lt;=45,"Long",L267&lt;=60,"Very Long")</f>
        <v>Medium</v>
      </c>
      <c r="N267" s="5" t="s">
        <v>13</v>
      </c>
      <c r="O267" s="6">
        <v>7</v>
      </c>
    </row>
    <row r="268" spans="1:15" x14ac:dyDescent="0.25">
      <c r="A268" s="1" t="s">
        <v>326</v>
      </c>
      <c r="B268" s="2">
        <v>69</v>
      </c>
      <c r="C268" t="str" cm="1">
        <f t="array" ref="C268">_xlfn.IFS(B268&lt;=30,"Young",B268&lt;=50,"Middle-aged",B268&gt;50,"Older")</f>
        <v>Older</v>
      </c>
      <c r="D268" s="2" t="s">
        <v>10</v>
      </c>
      <c r="E268" s="2" t="s">
        <v>11</v>
      </c>
      <c r="F268" s="2">
        <f t="shared" si="19"/>
        <v>0</v>
      </c>
      <c r="G268" s="2">
        <f t="shared" si="16"/>
        <v>0</v>
      </c>
      <c r="H268" s="2">
        <f t="shared" si="17"/>
        <v>0</v>
      </c>
      <c r="I268" s="2">
        <f t="shared" si="18"/>
        <v>0</v>
      </c>
      <c r="J268" s="2">
        <v>500</v>
      </c>
      <c r="K268" s="2" t="s">
        <v>12</v>
      </c>
      <c r="L268" s="2">
        <v>58</v>
      </c>
      <c r="M268" t="str" cm="1">
        <f t="array" ref="M268">_xlfn.IFS(L268&lt;=14,"Short",L268&lt;=30,"Medium",L268&lt;=45,"Long",L268&lt;=60,"Very Long")</f>
        <v>Very Long</v>
      </c>
      <c r="N268" s="2" t="s">
        <v>120</v>
      </c>
      <c r="O268" s="3">
        <v>8</v>
      </c>
    </row>
    <row r="269" spans="1:15" x14ac:dyDescent="0.25">
      <c r="A269" s="4" t="s">
        <v>327</v>
      </c>
      <c r="B269" s="5">
        <v>66</v>
      </c>
      <c r="C269" t="str" cm="1">
        <f t="array" ref="C269">_xlfn.IFS(B269&lt;=30,"Young",B269&lt;=50,"Middle-aged",B269&gt;50,"Older")</f>
        <v>Older</v>
      </c>
      <c r="D269" s="5" t="s">
        <v>19</v>
      </c>
      <c r="E269" s="5" t="s">
        <v>20</v>
      </c>
      <c r="F269" s="5">
        <f t="shared" si="19"/>
        <v>0</v>
      </c>
      <c r="G269" s="5">
        <f t="shared" si="16"/>
        <v>1</v>
      </c>
      <c r="H269" s="5">
        <f t="shared" si="17"/>
        <v>0</v>
      </c>
      <c r="I269" s="5">
        <f t="shared" si="18"/>
        <v>0</v>
      </c>
      <c r="J269" s="5">
        <v>50</v>
      </c>
      <c r="K269" s="5" t="s">
        <v>37</v>
      </c>
      <c r="L269" s="5">
        <v>49</v>
      </c>
      <c r="M269" t="str" cm="1">
        <f t="array" ref="M269">_xlfn.IFS(L269&lt;=14,"Short",L269&lt;=30,"Medium",L269&lt;=45,"Long",L269&lt;=60,"Very Long")</f>
        <v>Very Long</v>
      </c>
      <c r="N269" s="5" t="s">
        <v>13</v>
      </c>
      <c r="O269" s="6">
        <v>7.9</v>
      </c>
    </row>
    <row r="270" spans="1:15" x14ac:dyDescent="0.25">
      <c r="A270" s="1" t="s">
        <v>328</v>
      </c>
      <c r="B270" s="2">
        <v>79</v>
      </c>
      <c r="C270" t="str" cm="1">
        <f t="array" ref="C270">_xlfn.IFS(B270&lt;=30,"Young",B270&lt;=50,"Middle-aged",B270&gt;50,"Older")</f>
        <v>Older</v>
      </c>
      <c r="D270" s="2" t="s">
        <v>19</v>
      </c>
      <c r="E270" s="2" t="s">
        <v>33</v>
      </c>
      <c r="F270" s="2">
        <f t="shared" si="19"/>
        <v>0</v>
      </c>
      <c r="G270" s="2">
        <f t="shared" si="16"/>
        <v>0</v>
      </c>
      <c r="H270" s="2">
        <f t="shared" si="17"/>
        <v>0</v>
      </c>
      <c r="I270" s="2">
        <f t="shared" si="18"/>
        <v>1</v>
      </c>
      <c r="J270" s="2">
        <v>500</v>
      </c>
      <c r="K270" s="2" t="s">
        <v>49</v>
      </c>
      <c r="L270" s="2">
        <v>37</v>
      </c>
      <c r="M270" t="str" cm="1">
        <f t="array" ref="M270">_xlfn.IFS(L270&lt;=14,"Short",L270&lt;=30,"Medium",L270&lt;=45,"Long",L270&lt;=60,"Very Long")</f>
        <v>Long</v>
      </c>
      <c r="N270" s="2" t="s">
        <v>91</v>
      </c>
      <c r="O270" s="3">
        <v>6.5</v>
      </c>
    </row>
    <row r="271" spans="1:15" x14ac:dyDescent="0.25">
      <c r="A271" s="4" t="s">
        <v>329</v>
      </c>
      <c r="B271" s="5">
        <v>66</v>
      </c>
      <c r="C271" t="str" cm="1">
        <f t="array" ref="C271">_xlfn.IFS(B271&lt;=30,"Young",B271&lt;=50,"Middle-aged",B271&gt;50,"Older")</f>
        <v>Older</v>
      </c>
      <c r="D271" s="5" t="s">
        <v>10</v>
      </c>
      <c r="E271" s="5" t="s">
        <v>20</v>
      </c>
      <c r="F271" s="5">
        <f t="shared" si="19"/>
        <v>0</v>
      </c>
      <c r="G271" s="5">
        <f t="shared" si="16"/>
        <v>1</v>
      </c>
      <c r="H271" s="5">
        <f t="shared" si="17"/>
        <v>0</v>
      </c>
      <c r="I271" s="5">
        <f t="shared" si="18"/>
        <v>0</v>
      </c>
      <c r="J271" s="5">
        <v>250</v>
      </c>
      <c r="K271" s="5" t="s">
        <v>55</v>
      </c>
      <c r="L271" s="5">
        <v>21</v>
      </c>
      <c r="M271" t="str" cm="1">
        <f t="array" ref="M271">_xlfn.IFS(L271&lt;=14,"Short",L271&lt;=30,"Medium",L271&lt;=45,"Long",L271&lt;=60,"Very Long")</f>
        <v>Medium</v>
      </c>
      <c r="N271" s="5" t="s">
        <v>78</v>
      </c>
      <c r="O271" s="6">
        <v>6.1</v>
      </c>
    </row>
    <row r="272" spans="1:15" x14ac:dyDescent="0.25">
      <c r="A272" s="1" t="s">
        <v>330</v>
      </c>
      <c r="B272" s="2">
        <v>75</v>
      </c>
      <c r="C272" t="str" cm="1">
        <f t="array" ref="C272">_xlfn.IFS(B272&lt;=30,"Young",B272&lt;=50,"Middle-aged",B272&gt;50,"Older")</f>
        <v>Older</v>
      </c>
      <c r="D272" s="2" t="s">
        <v>19</v>
      </c>
      <c r="E272" s="2" t="s">
        <v>15</v>
      </c>
      <c r="F272" s="2">
        <f t="shared" si="19"/>
        <v>1</v>
      </c>
      <c r="G272" s="2">
        <f t="shared" si="16"/>
        <v>0</v>
      </c>
      <c r="H272" s="2">
        <f t="shared" si="17"/>
        <v>0</v>
      </c>
      <c r="I272" s="2">
        <f t="shared" si="18"/>
        <v>0</v>
      </c>
      <c r="J272" s="2">
        <v>500</v>
      </c>
      <c r="K272" s="2" t="s">
        <v>63</v>
      </c>
      <c r="L272" s="2">
        <v>10</v>
      </c>
      <c r="M272" t="str" cm="1">
        <f t="array" ref="M272">_xlfn.IFS(L272&lt;=14,"Short",L272&lt;=30,"Medium",L272&lt;=45,"Long",L272&lt;=60,"Very Long")</f>
        <v>Short</v>
      </c>
      <c r="N272" s="2" t="s">
        <v>64</v>
      </c>
      <c r="O272" s="3">
        <v>7.2</v>
      </c>
    </row>
    <row r="273" spans="1:15" x14ac:dyDescent="0.25">
      <c r="A273" s="4" t="s">
        <v>331</v>
      </c>
      <c r="B273" s="5">
        <v>69</v>
      </c>
      <c r="C273" t="str" cm="1">
        <f t="array" ref="C273">_xlfn.IFS(B273&lt;=30,"Young",B273&lt;=50,"Middle-aged",B273&gt;50,"Older")</f>
        <v>Older</v>
      </c>
      <c r="D273" s="5" t="s">
        <v>10</v>
      </c>
      <c r="E273" s="5" t="s">
        <v>11</v>
      </c>
      <c r="F273" s="5">
        <f t="shared" si="19"/>
        <v>0</v>
      </c>
      <c r="G273" s="5">
        <f t="shared" si="16"/>
        <v>0</v>
      </c>
      <c r="H273" s="5">
        <f t="shared" si="17"/>
        <v>0</v>
      </c>
      <c r="I273" s="5">
        <f t="shared" si="18"/>
        <v>0</v>
      </c>
      <c r="J273" s="5">
        <v>100</v>
      </c>
      <c r="K273" s="5" t="s">
        <v>12</v>
      </c>
      <c r="L273" s="5">
        <v>8</v>
      </c>
      <c r="M273" t="str" cm="1">
        <f t="array" ref="M273">_xlfn.IFS(L273&lt;=14,"Short",L273&lt;=30,"Medium",L273&lt;=45,"Long",L273&lt;=60,"Very Long")</f>
        <v>Short</v>
      </c>
      <c r="N273" s="5" t="s">
        <v>30</v>
      </c>
      <c r="O273" s="6">
        <v>9.3000000000000007</v>
      </c>
    </row>
    <row r="274" spans="1:15" x14ac:dyDescent="0.25">
      <c r="A274" s="1" t="s">
        <v>332</v>
      </c>
      <c r="B274" s="2">
        <v>29</v>
      </c>
      <c r="C274" t="str" cm="1">
        <f t="array" ref="C274">_xlfn.IFS(B274&lt;=30,"Young",B274&lt;=50,"Middle-aged",B274&gt;50,"Older")</f>
        <v>Young</v>
      </c>
      <c r="D274" s="2" t="s">
        <v>19</v>
      </c>
      <c r="E274" s="2" t="s">
        <v>20</v>
      </c>
      <c r="F274" s="2">
        <f t="shared" si="19"/>
        <v>0</v>
      </c>
      <c r="G274" s="2">
        <f t="shared" si="16"/>
        <v>1</v>
      </c>
      <c r="H274" s="2">
        <f t="shared" si="17"/>
        <v>0</v>
      </c>
      <c r="I274" s="2">
        <f t="shared" si="18"/>
        <v>0</v>
      </c>
      <c r="J274" s="2">
        <v>500</v>
      </c>
      <c r="K274" s="2" t="s">
        <v>21</v>
      </c>
      <c r="L274" s="2">
        <v>24</v>
      </c>
      <c r="M274" t="str" cm="1">
        <f t="array" ref="M274">_xlfn.IFS(L274&lt;=14,"Short",L274&lt;=30,"Medium",L274&lt;=45,"Long",L274&lt;=60,"Very Long")</f>
        <v>Medium</v>
      </c>
      <c r="N274" s="2" t="s">
        <v>28</v>
      </c>
      <c r="O274" s="3">
        <v>5.0999999999999996</v>
      </c>
    </row>
    <row r="275" spans="1:15" x14ac:dyDescent="0.25">
      <c r="A275" s="4" t="s">
        <v>333</v>
      </c>
      <c r="B275" s="5">
        <v>79</v>
      </c>
      <c r="C275" t="str" cm="1">
        <f t="array" ref="C275">_xlfn.IFS(B275&lt;=30,"Young",B275&lt;=50,"Middle-aged",B275&gt;50,"Older")</f>
        <v>Older</v>
      </c>
      <c r="D275" s="5" t="s">
        <v>10</v>
      </c>
      <c r="E275" s="5" t="s">
        <v>20</v>
      </c>
      <c r="F275" s="5">
        <f t="shared" si="19"/>
        <v>0</v>
      </c>
      <c r="G275" s="5">
        <f t="shared" si="16"/>
        <v>1</v>
      </c>
      <c r="H275" s="5">
        <f t="shared" si="17"/>
        <v>0</v>
      </c>
      <c r="I275" s="5">
        <f t="shared" si="18"/>
        <v>0</v>
      </c>
      <c r="J275" s="5">
        <v>250</v>
      </c>
      <c r="K275" s="5" t="s">
        <v>37</v>
      </c>
      <c r="L275" s="5">
        <v>52</v>
      </c>
      <c r="M275" t="str" cm="1">
        <f t="array" ref="M275">_xlfn.IFS(L275&lt;=14,"Short",L275&lt;=30,"Medium",L275&lt;=45,"Long",L275&lt;=60,"Very Long")</f>
        <v>Very Long</v>
      </c>
      <c r="N275" s="5" t="s">
        <v>88</v>
      </c>
      <c r="O275" s="6">
        <v>4.8</v>
      </c>
    </row>
    <row r="276" spans="1:15" x14ac:dyDescent="0.25">
      <c r="A276" s="1" t="s">
        <v>334</v>
      </c>
      <c r="B276" s="2">
        <v>56</v>
      </c>
      <c r="C276" t="str" cm="1">
        <f t="array" ref="C276">_xlfn.IFS(B276&lt;=30,"Young",B276&lt;=50,"Middle-aged",B276&gt;50,"Older")</f>
        <v>Older</v>
      </c>
      <c r="D276" s="2" t="s">
        <v>10</v>
      </c>
      <c r="E276" s="2" t="s">
        <v>15</v>
      </c>
      <c r="F276" s="2">
        <f t="shared" si="19"/>
        <v>1</v>
      </c>
      <c r="G276" s="2">
        <f t="shared" si="16"/>
        <v>0</v>
      </c>
      <c r="H276" s="2">
        <f t="shared" si="17"/>
        <v>0</v>
      </c>
      <c r="I276" s="2">
        <f t="shared" si="18"/>
        <v>0</v>
      </c>
      <c r="J276" s="2">
        <v>500</v>
      </c>
      <c r="K276" s="2" t="s">
        <v>63</v>
      </c>
      <c r="L276" s="2">
        <v>51</v>
      </c>
      <c r="M276" t="str" cm="1">
        <f t="array" ref="M276">_xlfn.IFS(L276&lt;=14,"Short",L276&lt;=30,"Medium",L276&lt;=45,"Long",L276&lt;=60,"Very Long")</f>
        <v>Very Long</v>
      </c>
      <c r="N276" s="2" t="s">
        <v>41</v>
      </c>
      <c r="O276" s="3">
        <v>7.2</v>
      </c>
    </row>
    <row r="277" spans="1:15" x14ac:dyDescent="0.25">
      <c r="A277" s="4" t="s">
        <v>335</v>
      </c>
      <c r="B277" s="5">
        <v>19</v>
      </c>
      <c r="C277" t="str" cm="1">
        <f t="array" ref="C277">_xlfn.IFS(B277&lt;=30,"Young",B277&lt;=50,"Middle-aged",B277&gt;50,"Older")</f>
        <v>Young</v>
      </c>
      <c r="D277" s="5" t="s">
        <v>19</v>
      </c>
      <c r="E277" s="5" t="s">
        <v>24</v>
      </c>
      <c r="F277" s="5">
        <f t="shared" si="19"/>
        <v>0</v>
      </c>
      <c r="G277" s="5">
        <f t="shared" si="16"/>
        <v>0</v>
      </c>
      <c r="H277" s="5">
        <f t="shared" si="17"/>
        <v>1</v>
      </c>
      <c r="I277" s="5">
        <f t="shared" si="18"/>
        <v>0</v>
      </c>
      <c r="J277" s="5">
        <v>100</v>
      </c>
      <c r="K277" s="5" t="s">
        <v>59</v>
      </c>
      <c r="L277" s="5">
        <v>31</v>
      </c>
      <c r="M277" t="str" cm="1">
        <f t="array" ref="M277">_xlfn.IFS(L277&lt;=14,"Short",L277&lt;=30,"Medium",L277&lt;=45,"Long",L277&lt;=60,"Very Long")</f>
        <v>Long</v>
      </c>
      <c r="N277" s="5" t="s">
        <v>74</v>
      </c>
      <c r="O277" s="6">
        <v>7.1</v>
      </c>
    </row>
    <row r="278" spans="1:15" x14ac:dyDescent="0.25">
      <c r="A278" s="1" t="s">
        <v>336</v>
      </c>
      <c r="B278" s="2">
        <v>20</v>
      </c>
      <c r="C278" t="str" cm="1">
        <f t="array" ref="C278">_xlfn.IFS(B278&lt;=30,"Young",B278&lt;=50,"Middle-aged",B278&gt;50,"Older")</f>
        <v>Young</v>
      </c>
      <c r="D278" s="2" t="s">
        <v>19</v>
      </c>
      <c r="E278" s="2" t="s">
        <v>33</v>
      </c>
      <c r="F278" s="2">
        <f t="shared" si="19"/>
        <v>0</v>
      </c>
      <c r="G278" s="2">
        <f t="shared" si="16"/>
        <v>0</v>
      </c>
      <c r="H278" s="2">
        <f t="shared" si="17"/>
        <v>0</v>
      </c>
      <c r="I278" s="2">
        <f t="shared" si="18"/>
        <v>1</v>
      </c>
      <c r="J278" s="2">
        <v>500</v>
      </c>
      <c r="K278" s="2" t="s">
        <v>34</v>
      </c>
      <c r="L278" s="2">
        <v>19</v>
      </c>
      <c r="M278" t="str" cm="1">
        <f t="array" ref="M278">_xlfn.IFS(L278&lt;=14,"Short",L278&lt;=30,"Medium",L278&lt;=45,"Long",L278&lt;=60,"Very Long")</f>
        <v>Medium</v>
      </c>
      <c r="N278" s="2" t="s">
        <v>97</v>
      </c>
      <c r="O278" s="3">
        <v>7.3</v>
      </c>
    </row>
    <row r="279" spans="1:15" x14ac:dyDescent="0.25">
      <c r="A279" s="4" t="s">
        <v>337</v>
      </c>
      <c r="B279" s="5">
        <v>66</v>
      </c>
      <c r="C279" t="str" cm="1">
        <f t="array" ref="C279">_xlfn.IFS(B279&lt;=30,"Young",B279&lt;=50,"Middle-aged",B279&gt;50,"Older")</f>
        <v>Older</v>
      </c>
      <c r="D279" s="5" t="s">
        <v>19</v>
      </c>
      <c r="E279" s="5" t="s">
        <v>24</v>
      </c>
      <c r="F279" s="5">
        <f t="shared" si="19"/>
        <v>0</v>
      </c>
      <c r="G279" s="5">
        <f t="shared" si="16"/>
        <v>0</v>
      </c>
      <c r="H279" s="5">
        <f t="shared" si="17"/>
        <v>1</v>
      </c>
      <c r="I279" s="5">
        <f t="shared" si="18"/>
        <v>0</v>
      </c>
      <c r="J279" s="5">
        <v>250</v>
      </c>
      <c r="K279" s="5" t="s">
        <v>25</v>
      </c>
      <c r="L279" s="5">
        <v>10</v>
      </c>
      <c r="M279" t="str" cm="1">
        <f t="array" ref="M279">_xlfn.IFS(L279&lt;=14,"Short",L279&lt;=30,"Medium",L279&lt;=45,"Long",L279&lt;=60,"Very Long")</f>
        <v>Short</v>
      </c>
      <c r="N279" s="5" t="s">
        <v>70</v>
      </c>
      <c r="O279" s="6">
        <v>7.4</v>
      </c>
    </row>
    <row r="280" spans="1:15" x14ac:dyDescent="0.25">
      <c r="A280" s="1" t="s">
        <v>338</v>
      </c>
      <c r="B280" s="2">
        <v>54</v>
      </c>
      <c r="C280" t="str" cm="1">
        <f t="array" ref="C280">_xlfn.IFS(B280&lt;=30,"Young",B280&lt;=50,"Middle-aged",B280&gt;50,"Older")</f>
        <v>Older</v>
      </c>
      <c r="D280" s="2" t="s">
        <v>19</v>
      </c>
      <c r="E280" s="2" t="s">
        <v>11</v>
      </c>
      <c r="F280" s="2">
        <f t="shared" si="19"/>
        <v>0</v>
      </c>
      <c r="G280" s="2">
        <f t="shared" si="16"/>
        <v>0</v>
      </c>
      <c r="H280" s="2">
        <f t="shared" si="17"/>
        <v>0</v>
      </c>
      <c r="I280" s="2">
        <f t="shared" si="18"/>
        <v>0</v>
      </c>
      <c r="J280" s="2">
        <v>100</v>
      </c>
      <c r="K280" s="2" t="s">
        <v>51</v>
      </c>
      <c r="L280" s="2">
        <v>51</v>
      </c>
      <c r="M280" t="str" cm="1">
        <f t="array" ref="M280">_xlfn.IFS(L280&lt;=14,"Short",L280&lt;=30,"Medium",L280&lt;=45,"Long",L280&lt;=60,"Very Long")</f>
        <v>Very Long</v>
      </c>
      <c r="N280" s="2" t="s">
        <v>41</v>
      </c>
      <c r="O280" s="3">
        <v>6.7</v>
      </c>
    </row>
    <row r="281" spans="1:15" x14ac:dyDescent="0.25">
      <c r="A281" s="4" t="s">
        <v>339</v>
      </c>
      <c r="B281" s="5">
        <v>66</v>
      </c>
      <c r="C281" t="str" cm="1">
        <f t="array" ref="C281">_xlfn.IFS(B281&lt;=30,"Young",B281&lt;=50,"Middle-aged",B281&gt;50,"Older")</f>
        <v>Older</v>
      </c>
      <c r="D281" s="5" t="s">
        <v>19</v>
      </c>
      <c r="E281" s="5" t="s">
        <v>20</v>
      </c>
      <c r="F281" s="5">
        <f t="shared" si="19"/>
        <v>0</v>
      </c>
      <c r="G281" s="5">
        <f t="shared" si="16"/>
        <v>1</v>
      </c>
      <c r="H281" s="5">
        <f t="shared" si="17"/>
        <v>0</v>
      </c>
      <c r="I281" s="5">
        <f t="shared" si="18"/>
        <v>0</v>
      </c>
      <c r="J281" s="5">
        <v>850</v>
      </c>
      <c r="K281" s="5" t="s">
        <v>21</v>
      </c>
      <c r="L281" s="5">
        <v>18</v>
      </c>
      <c r="M281" t="str" cm="1">
        <f t="array" ref="M281">_xlfn.IFS(L281&lt;=14,"Short",L281&lt;=30,"Medium",L281&lt;=45,"Long",L281&lt;=60,"Very Long")</f>
        <v>Medium</v>
      </c>
      <c r="N281" s="5" t="s">
        <v>28</v>
      </c>
      <c r="O281" s="6">
        <v>9.1999999999999993</v>
      </c>
    </row>
    <row r="282" spans="1:15" x14ac:dyDescent="0.25">
      <c r="A282" s="1" t="s">
        <v>340</v>
      </c>
      <c r="B282" s="2">
        <v>73</v>
      </c>
      <c r="C282" t="str" cm="1">
        <f t="array" ref="C282">_xlfn.IFS(B282&lt;=30,"Young",B282&lt;=50,"Middle-aged",B282&gt;50,"Older")</f>
        <v>Older</v>
      </c>
      <c r="D282" s="2" t="s">
        <v>10</v>
      </c>
      <c r="E282" s="2" t="s">
        <v>15</v>
      </c>
      <c r="F282" s="2">
        <f t="shared" si="19"/>
        <v>1</v>
      </c>
      <c r="G282" s="2">
        <f t="shared" si="16"/>
        <v>0</v>
      </c>
      <c r="H282" s="2">
        <f t="shared" si="17"/>
        <v>0</v>
      </c>
      <c r="I282" s="2">
        <f t="shared" si="18"/>
        <v>0</v>
      </c>
      <c r="J282" s="2">
        <v>500</v>
      </c>
      <c r="K282" s="2" t="s">
        <v>63</v>
      </c>
      <c r="L282" s="2">
        <v>15</v>
      </c>
      <c r="M282" t="str" cm="1">
        <f t="array" ref="M282">_xlfn.IFS(L282&lt;=14,"Short",L282&lt;=30,"Medium",L282&lt;=45,"Long",L282&lt;=60,"Very Long")</f>
        <v>Medium</v>
      </c>
      <c r="N282" s="2" t="s">
        <v>110</v>
      </c>
      <c r="O282" s="3">
        <v>4.5999999999999996</v>
      </c>
    </row>
    <row r="283" spans="1:15" x14ac:dyDescent="0.25">
      <c r="A283" s="4" t="s">
        <v>341</v>
      </c>
      <c r="B283" s="5">
        <v>34</v>
      </c>
      <c r="C283" t="str" cm="1">
        <f t="array" ref="C283">_xlfn.IFS(B283&lt;=30,"Young",B283&lt;=50,"Middle-aged",B283&gt;50,"Older")</f>
        <v>Middle-aged</v>
      </c>
      <c r="D283" s="5" t="s">
        <v>19</v>
      </c>
      <c r="E283" s="5" t="s">
        <v>15</v>
      </c>
      <c r="F283" s="5">
        <f t="shared" si="19"/>
        <v>1</v>
      </c>
      <c r="G283" s="5">
        <f t="shared" si="16"/>
        <v>0</v>
      </c>
      <c r="H283" s="5">
        <f t="shared" si="17"/>
        <v>0</v>
      </c>
      <c r="I283" s="5">
        <f t="shared" si="18"/>
        <v>0</v>
      </c>
      <c r="J283" s="5">
        <v>250</v>
      </c>
      <c r="K283" s="5" t="s">
        <v>63</v>
      </c>
      <c r="L283" s="5">
        <v>43</v>
      </c>
      <c r="M283" t="str" cm="1">
        <f t="array" ref="M283">_xlfn.IFS(L283&lt;=14,"Short",L283&lt;=30,"Medium",L283&lt;=45,"Long",L283&lt;=60,"Very Long")</f>
        <v>Long</v>
      </c>
      <c r="N283" s="5" t="s">
        <v>41</v>
      </c>
      <c r="O283" s="6">
        <v>5.8</v>
      </c>
    </row>
    <row r="284" spans="1:15" x14ac:dyDescent="0.25">
      <c r="A284" s="1" t="s">
        <v>342</v>
      </c>
      <c r="B284" s="2">
        <v>76</v>
      </c>
      <c r="C284" t="str" cm="1">
        <f t="array" ref="C284">_xlfn.IFS(B284&lt;=30,"Young",B284&lt;=50,"Middle-aged",B284&gt;50,"Older")</f>
        <v>Older</v>
      </c>
      <c r="D284" s="2" t="s">
        <v>10</v>
      </c>
      <c r="E284" s="2" t="s">
        <v>33</v>
      </c>
      <c r="F284" s="2">
        <f t="shared" si="19"/>
        <v>0</v>
      </c>
      <c r="G284" s="2">
        <f t="shared" si="16"/>
        <v>0</v>
      </c>
      <c r="H284" s="2">
        <f t="shared" si="17"/>
        <v>0</v>
      </c>
      <c r="I284" s="2">
        <f t="shared" si="18"/>
        <v>1</v>
      </c>
      <c r="J284" s="2">
        <v>850</v>
      </c>
      <c r="K284" s="2" t="s">
        <v>49</v>
      </c>
      <c r="L284" s="2">
        <v>13</v>
      </c>
      <c r="M284" t="str" cm="1">
        <f t="array" ref="M284">_xlfn.IFS(L284&lt;=14,"Short",L284&lt;=30,"Medium",L284&lt;=45,"Long",L284&lt;=60,"Very Long")</f>
        <v>Short</v>
      </c>
      <c r="N284" s="2" t="s">
        <v>13</v>
      </c>
      <c r="O284" s="3">
        <v>6.8</v>
      </c>
    </row>
    <row r="285" spans="1:15" x14ac:dyDescent="0.25">
      <c r="A285" s="4" t="s">
        <v>343</v>
      </c>
      <c r="B285" s="5">
        <v>66</v>
      </c>
      <c r="C285" t="str" cm="1">
        <f t="array" ref="C285">_xlfn.IFS(B285&lt;=30,"Young",B285&lt;=50,"Middle-aged",B285&gt;50,"Older")</f>
        <v>Older</v>
      </c>
      <c r="D285" s="5" t="s">
        <v>10</v>
      </c>
      <c r="E285" s="5" t="s">
        <v>24</v>
      </c>
      <c r="F285" s="5">
        <f t="shared" si="19"/>
        <v>0</v>
      </c>
      <c r="G285" s="5">
        <f t="shared" si="16"/>
        <v>0</v>
      </c>
      <c r="H285" s="5">
        <f t="shared" si="17"/>
        <v>1</v>
      </c>
      <c r="I285" s="5">
        <f t="shared" si="18"/>
        <v>0</v>
      </c>
      <c r="J285" s="5">
        <v>50</v>
      </c>
      <c r="K285" s="5" t="s">
        <v>39</v>
      </c>
      <c r="L285" s="5">
        <v>30</v>
      </c>
      <c r="M285" t="str" cm="1">
        <f t="array" ref="M285">_xlfn.IFS(L285&lt;=14,"Short",L285&lt;=30,"Medium",L285&lt;=45,"Long",L285&lt;=60,"Very Long")</f>
        <v>Medium</v>
      </c>
      <c r="N285" s="5" t="s">
        <v>136</v>
      </c>
      <c r="O285" s="6">
        <v>4.5</v>
      </c>
    </row>
    <row r="286" spans="1:15" x14ac:dyDescent="0.25">
      <c r="A286" s="1" t="s">
        <v>344</v>
      </c>
      <c r="B286" s="2">
        <v>19</v>
      </c>
      <c r="C286" t="str" cm="1">
        <f t="array" ref="C286">_xlfn.IFS(B286&lt;=30,"Young",B286&lt;=50,"Middle-aged",B286&gt;50,"Older")</f>
        <v>Young</v>
      </c>
      <c r="D286" s="2" t="s">
        <v>19</v>
      </c>
      <c r="E286" s="2" t="s">
        <v>33</v>
      </c>
      <c r="F286" s="2">
        <f t="shared" si="19"/>
        <v>0</v>
      </c>
      <c r="G286" s="2">
        <f t="shared" si="16"/>
        <v>0</v>
      </c>
      <c r="H286" s="2">
        <f t="shared" si="17"/>
        <v>0</v>
      </c>
      <c r="I286" s="2">
        <f t="shared" si="18"/>
        <v>1</v>
      </c>
      <c r="J286" s="2">
        <v>50</v>
      </c>
      <c r="K286" s="2" t="s">
        <v>47</v>
      </c>
      <c r="L286" s="2">
        <v>20</v>
      </c>
      <c r="M286" t="str" cm="1">
        <f t="array" ref="M286">_xlfn.IFS(L286&lt;=14,"Short",L286&lt;=30,"Medium",L286&lt;=45,"Long",L286&lt;=60,"Very Long")</f>
        <v>Medium</v>
      </c>
      <c r="N286" s="2" t="s">
        <v>345</v>
      </c>
      <c r="O286" s="3">
        <v>6.7</v>
      </c>
    </row>
    <row r="287" spans="1:15" x14ac:dyDescent="0.25">
      <c r="A287" s="4" t="s">
        <v>346</v>
      </c>
      <c r="B287" s="5">
        <v>19</v>
      </c>
      <c r="C287" t="str" cm="1">
        <f t="array" ref="C287">_xlfn.IFS(B287&lt;=30,"Young",B287&lt;=50,"Middle-aged",B287&gt;50,"Older")</f>
        <v>Young</v>
      </c>
      <c r="D287" s="5" t="s">
        <v>10</v>
      </c>
      <c r="E287" s="5" t="s">
        <v>20</v>
      </c>
      <c r="F287" s="5">
        <f t="shared" si="19"/>
        <v>0</v>
      </c>
      <c r="G287" s="5">
        <f t="shared" si="16"/>
        <v>1</v>
      </c>
      <c r="H287" s="5">
        <f t="shared" si="17"/>
        <v>0</v>
      </c>
      <c r="I287" s="5">
        <f t="shared" si="18"/>
        <v>0</v>
      </c>
      <c r="J287" s="5">
        <v>50</v>
      </c>
      <c r="K287" s="5" t="s">
        <v>37</v>
      </c>
      <c r="L287" s="5">
        <v>9</v>
      </c>
      <c r="M287" t="str" cm="1">
        <f t="array" ref="M287">_xlfn.IFS(L287&lt;=14,"Short",L287&lt;=30,"Medium",L287&lt;=45,"Long",L287&lt;=60,"Very Long")</f>
        <v>Short</v>
      </c>
      <c r="N287" s="5" t="s">
        <v>88</v>
      </c>
      <c r="O287" s="6">
        <v>9.5</v>
      </c>
    </row>
    <row r="288" spans="1:15" x14ac:dyDescent="0.25">
      <c r="A288" s="1" t="s">
        <v>347</v>
      </c>
      <c r="B288" s="2">
        <v>45</v>
      </c>
      <c r="C288" t="str" cm="1">
        <f t="array" ref="C288">_xlfn.IFS(B288&lt;=30,"Young",B288&lt;=50,"Middle-aged",B288&gt;50,"Older")</f>
        <v>Middle-aged</v>
      </c>
      <c r="D288" s="2" t="s">
        <v>10</v>
      </c>
      <c r="E288" s="2" t="s">
        <v>33</v>
      </c>
      <c r="F288" s="2">
        <f t="shared" si="19"/>
        <v>0</v>
      </c>
      <c r="G288" s="2">
        <f t="shared" si="16"/>
        <v>0</v>
      </c>
      <c r="H288" s="2">
        <f t="shared" si="17"/>
        <v>0</v>
      </c>
      <c r="I288" s="2">
        <f t="shared" si="18"/>
        <v>1</v>
      </c>
      <c r="J288" s="2">
        <v>50</v>
      </c>
      <c r="K288" s="2" t="s">
        <v>47</v>
      </c>
      <c r="L288" s="2">
        <v>56</v>
      </c>
      <c r="M288" t="str" cm="1">
        <f t="array" ref="M288">_xlfn.IFS(L288&lt;=14,"Short",L288&lt;=30,"Medium",L288&lt;=45,"Long",L288&lt;=60,"Very Long")</f>
        <v>Very Long</v>
      </c>
      <c r="N288" s="2" t="s">
        <v>225</v>
      </c>
      <c r="O288" s="3">
        <v>7</v>
      </c>
    </row>
    <row r="289" spans="1:15" x14ac:dyDescent="0.25">
      <c r="A289" s="4" t="s">
        <v>348</v>
      </c>
      <c r="B289" s="5">
        <v>71</v>
      </c>
      <c r="C289" t="str" cm="1">
        <f t="array" ref="C289">_xlfn.IFS(B289&lt;=30,"Young",B289&lt;=50,"Middle-aged",B289&gt;50,"Older")</f>
        <v>Older</v>
      </c>
      <c r="D289" s="5" t="s">
        <v>10</v>
      </c>
      <c r="E289" s="5" t="s">
        <v>15</v>
      </c>
      <c r="F289" s="5">
        <f t="shared" si="19"/>
        <v>1</v>
      </c>
      <c r="G289" s="5">
        <f t="shared" si="16"/>
        <v>0</v>
      </c>
      <c r="H289" s="5">
        <f t="shared" si="17"/>
        <v>0</v>
      </c>
      <c r="I289" s="5">
        <f t="shared" si="18"/>
        <v>0</v>
      </c>
      <c r="J289" s="5">
        <v>250</v>
      </c>
      <c r="K289" s="5" t="s">
        <v>63</v>
      </c>
      <c r="L289" s="5">
        <v>14</v>
      </c>
      <c r="M289" t="str" cm="1">
        <f t="array" ref="M289">_xlfn.IFS(L289&lt;=14,"Short",L289&lt;=30,"Medium",L289&lt;=45,"Long",L289&lt;=60,"Very Long")</f>
        <v>Short</v>
      </c>
      <c r="N289" s="5" t="s">
        <v>64</v>
      </c>
      <c r="O289" s="6">
        <v>7.3</v>
      </c>
    </row>
    <row r="290" spans="1:15" x14ac:dyDescent="0.25">
      <c r="A290" s="1" t="s">
        <v>349</v>
      </c>
      <c r="B290" s="2">
        <v>40</v>
      </c>
      <c r="C290" t="str" cm="1">
        <f t="array" ref="C290">_xlfn.IFS(B290&lt;=30,"Young",B290&lt;=50,"Middle-aged",B290&gt;50,"Older")</f>
        <v>Middle-aged</v>
      </c>
      <c r="D290" s="2" t="s">
        <v>10</v>
      </c>
      <c r="E290" s="2" t="s">
        <v>15</v>
      </c>
      <c r="F290" s="2">
        <f t="shared" si="19"/>
        <v>1</v>
      </c>
      <c r="G290" s="2">
        <f t="shared" si="16"/>
        <v>0</v>
      </c>
      <c r="H290" s="2">
        <f t="shared" si="17"/>
        <v>0</v>
      </c>
      <c r="I290" s="2">
        <f t="shared" si="18"/>
        <v>0</v>
      </c>
      <c r="J290" s="2">
        <v>850</v>
      </c>
      <c r="K290" s="2" t="s">
        <v>63</v>
      </c>
      <c r="L290" s="2">
        <v>54</v>
      </c>
      <c r="M290" t="str" cm="1">
        <f t="array" ref="M290">_xlfn.IFS(L290&lt;=14,"Short",L290&lt;=30,"Medium",L290&lt;=45,"Long",L290&lt;=60,"Very Long")</f>
        <v>Very Long</v>
      </c>
      <c r="N290" s="2" t="s">
        <v>41</v>
      </c>
      <c r="O290" s="3">
        <v>5.0999999999999996</v>
      </c>
    </row>
    <row r="291" spans="1:15" x14ac:dyDescent="0.25">
      <c r="A291" s="4" t="s">
        <v>350</v>
      </c>
      <c r="B291" s="5">
        <v>54</v>
      </c>
      <c r="C291" t="str" cm="1">
        <f t="array" ref="C291">_xlfn.IFS(B291&lt;=30,"Young",B291&lt;=50,"Middle-aged",B291&gt;50,"Older")</f>
        <v>Older</v>
      </c>
      <c r="D291" s="5" t="s">
        <v>19</v>
      </c>
      <c r="E291" s="5" t="s">
        <v>11</v>
      </c>
      <c r="F291" s="5">
        <f t="shared" si="19"/>
        <v>0</v>
      </c>
      <c r="G291" s="5">
        <f t="shared" si="16"/>
        <v>0</v>
      </c>
      <c r="H291" s="5">
        <f t="shared" si="17"/>
        <v>0</v>
      </c>
      <c r="I291" s="5">
        <f t="shared" si="18"/>
        <v>0</v>
      </c>
      <c r="J291" s="5">
        <v>100</v>
      </c>
      <c r="K291" s="5" t="s">
        <v>84</v>
      </c>
      <c r="L291" s="5">
        <v>7</v>
      </c>
      <c r="M291" t="str" cm="1">
        <f t="array" ref="M291">_xlfn.IFS(L291&lt;=14,"Short",L291&lt;=30,"Medium",L291&lt;=45,"Long",L291&lt;=60,"Very Long")</f>
        <v>Short</v>
      </c>
      <c r="N291" s="5" t="s">
        <v>93</v>
      </c>
      <c r="O291" s="6">
        <v>6.1</v>
      </c>
    </row>
    <row r="292" spans="1:15" x14ac:dyDescent="0.25">
      <c r="A292" s="1" t="s">
        <v>351</v>
      </c>
      <c r="B292" s="2">
        <v>49</v>
      </c>
      <c r="C292" t="str" cm="1">
        <f t="array" ref="C292">_xlfn.IFS(B292&lt;=30,"Young",B292&lt;=50,"Middle-aged",B292&gt;50,"Older")</f>
        <v>Middle-aged</v>
      </c>
      <c r="D292" s="2" t="s">
        <v>10</v>
      </c>
      <c r="E292" s="2" t="s">
        <v>11</v>
      </c>
      <c r="F292" s="2">
        <f t="shared" si="19"/>
        <v>0</v>
      </c>
      <c r="G292" s="2">
        <f t="shared" si="16"/>
        <v>0</v>
      </c>
      <c r="H292" s="2">
        <f t="shared" si="17"/>
        <v>0</v>
      </c>
      <c r="I292" s="2">
        <f t="shared" si="18"/>
        <v>0</v>
      </c>
      <c r="J292" s="2">
        <v>250</v>
      </c>
      <c r="K292" s="2" t="s">
        <v>84</v>
      </c>
      <c r="L292" s="2">
        <v>17</v>
      </c>
      <c r="M292" t="str" cm="1">
        <f t="array" ref="M292">_xlfn.IFS(L292&lt;=14,"Short",L292&lt;=30,"Medium",L292&lt;=45,"Long",L292&lt;=60,"Very Long")</f>
        <v>Medium</v>
      </c>
      <c r="N292" s="2" t="s">
        <v>93</v>
      </c>
      <c r="O292" s="3">
        <v>6.4</v>
      </c>
    </row>
    <row r="293" spans="1:15" x14ac:dyDescent="0.25">
      <c r="A293" s="4" t="s">
        <v>352</v>
      </c>
      <c r="B293" s="5">
        <v>50</v>
      </c>
      <c r="C293" t="str" cm="1">
        <f t="array" ref="C293">_xlfn.IFS(B293&lt;=30,"Young",B293&lt;=50,"Middle-aged",B293&gt;50,"Older")</f>
        <v>Middle-aged</v>
      </c>
      <c r="D293" s="5" t="s">
        <v>19</v>
      </c>
      <c r="E293" s="5" t="s">
        <v>20</v>
      </c>
      <c r="F293" s="5">
        <f t="shared" si="19"/>
        <v>0</v>
      </c>
      <c r="G293" s="5">
        <f t="shared" si="16"/>
        <v>1</v>
      </c>
      <c r="H293" s="5">
        <f t="shared" si="17"/>
        <v>0</v>
      </c>
      <c r="I293" s="5">
        <f t="shared" si="18"/>
        <v>0</v>
      </c>
      <c r="J293" s="5">
        <v>500</v>
      </c>
      <c r="K293" s="5" t="s">
        <v>21</v>
      </c>
      <c r="L293" s="5">
        <v>47</v>
      </c>
      <c r="M293" t="str" cm="1">
        <f t="array" ref="M293">_xlfn.IFS(L293&lt;=14,"Short",L293&lt;=30,"Medium",L293&lt;=45,"Long",L293&lt;=60,"Very Long")</f>
        <v>Very Long</v>
      </c>
      <c r="N293" s="5" t="s">
        <v>41</v>
      </c>
      <c r="O293" s="6">
        <v>6.5</v>
      </c>
    </row>
    <row r="294" spans="1:15" x14ac:dyDescent="0.25">
      <c r="A294" s="1" t="s">
        <v>353</v>
      </c>
      <c r="B294" s="2">
        <v>18</v>
      </c>
      <c r="C294" t="str" cm="1">
        <f t="array" ref="C294">_xlfn.IFS(B294&lt;=30,"Young",B294&lt;=50,"Middle-aged",B294&gt;50,"Older")</f>
        <v>Young</v>
      </c>
      <c r="D294" s="2" t="s">
        <v>19</v>
      </c>
      <c r="E294" s="2" t="s">
        <v>24</v>
      </c>
      <c r="F294" s="2">
        <f t="shared" si="19"/>
        <v>0</v>
      </c>
      <c r="G294" s="2">
        <f t="shared" si="16"/>
        <v>0</v>
      </c>
      <c r="H294" s="2">
        <f t="shared" si="17"/>
        <v>1</v>
      </c>
      <c r="I294" s="2">
        <f t="shared" si="18"/>
        <v>0</v>
      </c>
      <c r="J294" s="2">
        <v>100</v>
      </c>
      <c r="K294" s="2" t="s">
        <v>39</v>
      </c>
      <c r="L294" s="2">
        <v>53</v>
      </c>
      <c r="M294" t="str" cm="1">
        <f t="array" ref="M294">_xlfn.IFS(L294&lt;=14,"Short",L294&lt;=30,"Medium",L294&lt;=45,"Long",L294&lt;=60,"Very Long")</f>
        <v>Very Long</v>
      </c>
      <c r="N294" s="2" t="s">
        <v>136</v>
      </c>
      <c r="O294" s="3">
        <v>8.9</v>
      </c>
    </row>
    <row r="295" spans="1:15" x14ac:dyDescent="0.25">
      <c r="A295" s="4" t="s">
        <v>354</v>
      </c>
      <c r="B295" s="5">
        <v>36</v>
      </c>
      <c r="C295" t="str" cm="1">
        <f t="array" ref="C295">_xlfn.IFS(B295&lt;=30,"Young",B295&lt;=50,"Middle-aged",B295&gt;50,"Older")</f>
        <v>Middle-aged</v>
      </c>
      <c r="D295" s="5" t="s">
        <v>10</v>
      </c>
      <c r="E295" s="5" t="s">
        <v>33</v>
      </c>
      <c r="F295" s="5">
        <f t="shared" si="19"/>
        <v>0</v>
      </c>
      <c r="G295" s="5">
        <f t="shared" si="16"/>
        <v>0</v>
      </c>
      <c r="H295" s="5">
        <f t="shared" si="17"/>
        <v>0</v>
      </c>
      <c r="I295" s="5">
        <f t="shared" si="18"/>
        <v>1</v>
      </c>
      <c r="J295" s="5">
        <v>50</v>
      </c>
      <c r="K295" s="5" t="s">
        <v>49</v>
      </c>
      <c r="L295" s="5">
        <v>34</v>
      </c>
      <c r="M295" t="str" cm="1">
        <f t="array" ref="M295">_xlfn.IFS(L295&lt;=14,"Short",L295&lt;=30,"Medium",L295&lt;=45,"Long",L295&lt;=60,"Very Long")</f>
        <v>Long</v>
      </c>
      <c r="N295" s="5" t="s">
        <v>13</v>
      </c>
      <c r="O295" s="6">
        <v>7.8</v>
      </c>
    </row>
    <row r="296" spans="1:15" x14ac:dyDescent="0.25">
      <c r="A296" s="1" t="s">
        <v>355</v>
      </c>
      <c r="B296" s="2">
        <v>79</v>
      </c>
      <c r="C296" t="str" cm="1">
        <f t="array" ref="C296">_xlfn.IFS(B296&lt;=30,"Young",B296&lt;=50,"Middle-aged",B296&gt;50,"Older")</f>
        <v>Older</v>
      </c>
      <c r="D296" s="2" t="s">
        <v>19</v>
      </c>
      <c r="E296" s="2" t="s">
        <v>20</v>
      </c>
      <c r="F296" s="2">
        <f t="shared" si="19"/>
        <v>0</v>
      </c>
      <c r="G296" s="2">
        <f t="shared" si="16"/>
        <v>1</v>
      </c>
      <c r="H296" s="2">
        <f t="shared" si="17"/>
        <v>0</v>
      </c>
      <c r="I296" s="2">
        <f t="shared" si="18"/>
        <v>0</v>
      </c>
      <c r="J296" s="2">
        <v>100</v>
      </c>
      <c r="K296" s="2" t="s">
        <v>37</v>
      </c>
      <c r="L296" s="2">
        <v>58</v>
      </c>
      <c r="M296" t="str" cm="1">
        <f t="array" ref="M296">_xlfn.IFS(L296&lt;=14,"Short",L296&lt;=30,"Medium",L296&lt;=45,"Long",L296&lt;=60,"Very Long")</f>
        <v>Very Long</v>
      </c>
      <c r="N296" s="2" t="s">
        <v>173</v>
      </c>
      <c r="O296" s="3">
        <v>5.3</v>
      </c>
    </row>
    <row r="297" spans="1:15" x14ac:dyDescent="0.25">
      <c r="A297" s="4" t="s">
        <v>356</v>
      </c>
      <c r="B297" s="5">
        <v>19</v>
      </c>
      <c r="C297" t="str" cm="1">
        <f t="array" ref="C297">_xlfn.IFS(B297&lt;=30,"Young",B297&lt;=50,"Middle-aged",B297&gt;50,"Older")</f>
        <v>Young</v>
      </c>
      <c r="D297" s="5" t="s">
        <v>19</v>
      </c>
      <c r="E297" s="5" t="s">
        <v>11</v>
      </c>
      <c r="F297" s="5">
        <f t="shared" si="19"/>
        <v>0</v>
      </c>
      <c r="G297" s="5">
        <f t="shared" si="16"/>
        <v>0</v>
      </c>
      <c r="H297" s="5">
        <f t="shared" si="17"/>
        <v>0</v>
      </c>
      <c r="I297" s="5">
        <f t="shared" si="18"/>
        <v>0</v>
      </c>
      <c r="J297" s="5">
        <v>850</v>
      </c>
      <c r="K297" s="5" t="s">
        <v>84</v>
      </c>
      <c r="L297" s="5">
        <v>49</v>
      </c>
      <c r="M297" t="str" cm="1">
        <f t="array" ref="M297">_xlfn.IFS(L297&lt;=14,"Short",L297&lt;=30,"Medium",L297&lt;=45,"Long",L297&lt;=60,"Very Long")</f>
        <v>Very Long</v>
      </c>
      <c r="N297" s="5" t="s">
        <v>97</v>
      </c>
      <c r="O297" s="6">
        <v>7.4</v>
      </c>
    </row>
    <row r="298" spans="1:15" x14ac:dyDescent="0.25">
      <c r="A298" s="1" t="s">
        <v>357</v>
      </c>
      <c r="B298" s="2">
        <v>70</v>
      </c>
      <c r="C298" t="str" cm="1">
        <f t="array" ref="C298">_xlfn.IFS(B298&lt;=30,"Young",B298&lt;=50,"Middle-aged",B298&gt;50,"Older")</f>
        <v>Older</v>
      </c>
      <c r="D298" s="2" t="s">
        <v>19</v>
      </c>
      <c r="E298" s="2" t="s">
        <v>33</v>
      </c>
      <c r="F298" s="2">
        <f t="shared" si="19"/>
        <v>0</v>
      </c>
      <c r="G298" s="2">
        <f t="shared" si="16"/>
        <v>0</v>
      </c>
      <c r="H298" s="2">
        <f t="shared" si="17"/>
        <v>0</v>
      </c>
      <c r="I298" s="2">
        <f t="shared" si="18"/>
        <v>1</v>
      </c>
      <c r="J298" s="2">
        <v>500</v>
      </c>
      <c r="K298" s="2" t="s">
        <v>34</v>
      </c>
      <c r="L298" s="2">
        <v>10</v>
      </c>
      <c r="M298" t="str" cm="1">
        <f t="array" ref="M298">_xlfn.IFS(L298&lt;=14,"Short",L298&lt;=30,"Medium",L298&lt;=45,"Long",L298&lt;=60,"Very Long")</f>
        <v>Short</v>
      </c>
      <c r="N298" s="2" t="s">
        <v>35</v>
      </c>
      <c r="O298" s="3">
        <v>7.7</v>
      </c>
    </row>
    <row r="299" spans="1:15" x14ac:dyDescent="0.25">
      <c r="A299" s="4" t="s">
        <v>358</v>
      </c>
      <c r="B299" s="5">
        <v>61</v>
      </c>
      <c r="C299" t="str" cm="1">
        <f t="array" ref="C299">_xlfn.IFS(B299&lt;=30,"Young",B299&lt;=50,"Middle-aged",B299&gt;50,"Older")</f>
        <v>Older</v>
      </c>
      <c r="D299" s="5" t="s">
        <v>10</v>
      </c>
      <c r="E299" s="5" t="s">
        <v>11</v>
      </c>
      <c r="F299" s="5">
        <f t="shared" si="19"/>
        <v>0</v>
      </c>
      <c r="G299" s="5">
        <f t="shared" si="16"/>
        <v>0</v>
      </c>
      <c r="H299" s="5">
        <f t="shared" si="17"/>
        <v>0</v>
      </c>
      <c r="I299" s="5">
        <f t="shared" si="18"/>
        <v>0</v>
      </c>
      <c r="J299" s="5">
        <v>250</v>
      </c>
      <c r="K299" s="5" t="s">
        <v>51</v>
      </c>
      <c r="L299" s="5">
        <v>21</v>
      </c>
      <c r="M299" t="str" cm="1">
        <f t="array" ref="M299">_xlfn.IFS(L299&lt;=14,"Short",L299&lt;=30,"Medium",L299&lt;=45,"Long",L299&lt;=60,"Very Long")</f>
        <v>Medium</v>
      </c>
      <c r="N299" s="5" t="s">
        <v>41</v>
      </c>
      <c r="O299" s="6">
        <v>8.6999999999999993</v>
      </c>
    </row>
    <row r="300" spans="1:15" x14ac:dyDescent="0.25">
      <c r="A300" s="1" t="s">
        <v>359</v>
      </c>
      <c r="B300" s="2">
        <v>43</v>
      </c>
      <c r="C300" t="str" cm="1">
        <f t="array" ref="C300">_xlfn.IFS(B300&lt;=30,"Young",B300&lt;=50,"Middle-aged",B300&gt;50,"Older")</f>
        <v>Middle-aged</v>
      </c>
      <c r="D300" s="2" t="s">
        <v>19</v>
      </c>
      <c r="E300" s="2" t="s">
        <v>33</v>
      </c>
      <c r="F300" s="2">
        <f t="shared" si="19"/>
        <v>0</v>
      </c>
      <c r="G300" s="2">
        <f t="shared" si="16"/>
        <v>0</v>
      </c>
      <c r="H300" s="2">
        <f t="shared" si="17"/>
        <v>0</v>
      </c>
      <c r="I300" s="2">
        <f t="shared" si="18"/>
        <v>1</v>
      </c>
      <c r="J300" s="2">
        <v>100</v>
      </c>
      <c r="K300" s="2" t="s">
        <v>47</v>
      </c>
      <c r="L300" s="2">
        <v>49</v>
      </c>
      <c r="M300" t="str" cm="1">
        <f t="array" ref="M300">_xlfn.IFS(L300&lt;=14,"Short",L300&lt;=30,"Medium",L300&lt;=45,"Long",L300&lt;=60,"Very Long")</f>
        <v>Very Long</v>
      </c>
      <c r="N300" s="2" t="s">
        <v>225</v>
      </c>
      <c r="O300" s="3">
        <v>9.4</v>
      </c>
    </row>
    <row r="301" spans="1:15" x14ac:dyDescent="0.25">
      <c r="A301" s="4" t="s">
        <v>360</v>
      </c>
      <c r="B301" s="5">
        <v>49</v>
      </c>
      <c r="C301" t="str" cm="1">
        <f t="array" ref="C301">_xlfn.IFS(B301&lt;=30,"Young",B301&lt;=50,"Middle-aged",B301&gt;50,"Older")</f>
        <v>Middle-aged</v>
      </c>
      <c r="D301" s="5" t="s">
        <v>19</v>
      </c>
      <c r="E301" s="5" t="s">
        <v>24</v>
      </c>
      <c r="F301" s="5">
        <f t="shared" si="19"/>
        <v>0</v>
      </c>
      <c r="G301" s="5">
        <f t="shared" si="16"/>
        <v>0</v>
      </c>
      <c r="H301" s="5">
        <f t="shared" si="17"/>
        <v>1</v>
      </c>
      <c r="I301" s="5">
        <f t="shared" si="18"/>
        <v>0</v>
      </c>
      <c r="J301" s="5">
        <v>250</v>
      </c>
      <c r="K301" s="5" t="s">
        <v>59</v>
      </c>
      <c r="L301" s="5">
        <v>55</v>
      </c>
      <c r="M301" t="str" cm="1">
        <f t="array" ref="M301">_xlfn.IFS(L301&lt;=14,"Short",L301&lt;=30,"Medium",L301&lt;=45,"Long",L301&lt;=60,"Very Long")</f>
        <v>Very Long</v>
      </c>
      <c r="N301" s="5" t="s">
        <v>150</v>
      </c>
      <c r="O301" s="6">
        <v>5.5</v>
      </c>
    </row>
    <row r="302" spans="1:15" x14ac:dyDescent="0.25">
      <c r="A302" s="1" t="s">
        <v>361</v>
      </c>
      <c r="B302" s="2">
        <v>23</v>
      </c>
      <c r="C302" t="str" cm="1">
        <f t="array" ref="C302">_xlfn.IFS(B302&lt;=30,"Young",B302&lt;=50,"Middle-aged",B302&gt;50,"Older")</f>
        <v>Young</v>
      </c>
      <c r="D302" s="2" t="s">
        <v>19</v>
      </c>
      <c r="E302" s="2" t="s">
        <v>20</v>
      </c>
      <c r="F302" s="2">
        <f t="shared" si="19"/>
        <v>0</v>
      </c>
      <c r="G302" s="2">
        <f t="shared" si="16"/>
        <v>1</v>
      </c>
      <c r="H302" s="2">
        <f t="shared" si="17"/>
        <v>0</v>
      </c>
      <c r="I302" s="2">
        <f t="shared" si="18"/>
        <v>0</v>
      </c>
      <c r="J302" s="2">
        <v>100</v>
      </c>
      <c r="K302" s="2" t="s">
        <v>21</v>
      </c>
      <c r="L302" s="2">
        <v>57</v>
      </c>
      <c r="M302" t="str" cm="1">
        <f t="array" ref="M302">_xlfn.IFS(L302&lt;=14,"Short",L302&lt;=30,"Medium",L302&lt;=45,"Long",L302&lt;=60,"Very Long")</f>
        <v>Very Long</v>
      </c>
      <c r="N302" s="2" t="s">
        <v>41</v>
      </c>
      <c r="O302" s="3">
        <v>5.8</v>
      </c>
    </row>
    <row r="303" spans="1:15" x14ac:dyDescent="0.25">
      <c r="A303" s="4" t="s">
        <v>362</v>
      </c>
      <c r="B303" s="5">
        <v>49</v>
      </c>
      <c r="C303" t="str" cm="1">
        <f t="array" ref="C303">_xlfn.IFS(B303&lt;=30,"Young",B303&lt;=50,"Middle-aged",B303&gt;50,"Older")</f>
        <v>Middle-aged</v>
      </c>
      <c r="D303" s="5" t="s">
        <v>10</v>
      </c>
      <c r="E303" s="5" t="s">
        <v>33</v>
      </c>
      <c r="F303" s="5">
        <f t="shared" si="19"/>
        <v>0</v>
      </c>
      <c r="G303" s="5">
        <f t="shared" si="16"/>
        <v>0</v>
      </c>
      <c r="H303" s="5">
        <f t="shared" si="17"/>
        <v>0</v>
      </c>
      <c r="I303" s="5">
        <f t="shared" si="18"/>
        <v>1</v>
      </c>
      <c r="J303" s="5">
        <v>50</v>
      </c>
      <c r="K303" s="5" t="s">
        <v>34</v>
      </c>
      <c r="L303" s="5">
        <v>23</v>
      </c>
      <c r="M303" t="str" cm="1">
        <f t="array" ref="M303">_xlfn.IFS(L303&lt;=14,"Short",L303&lt;=30,"Medium",L303&lt;=45,"Long",L303&lt;=60,"Very Long")</f>
        <v>Medium</v>
      </c>
      <c r="N303" s="5" t="s">
        <v>95</v>
      </c>
      <c r="O303" s="6">
        <v>5.0999999999999996</v>
      </c>
    </row>
    <row r="304" spans="1:15" x14ac:dyDescent="0.25">
      <c r="A304" s="1" t="s">
        <v>363</v>
      </c>
      <c r="B304" s="2">
        <v>72</v>
      </c>
      <c r="C304" t="str" cm="1">
        <f t="array" ref="C304">_xlfn.IFS(B304&lt;=30,"Young",B304&lt;=50,"Middle-aged",B304&gt;50,"Older")</f>
        <v>Older</v>
      </c>
      <c r="D304" s="2" t="s">
        <v>19</v>
      </c>
      <c r="E304" s="2" t="s">
        <v>15</v>
      </c>
      <c r="F304" s="2">
        <f t="shared" si="19"/>
        <v>1</v>
      </c>
      <c r="G304" s="2">
        <f t="shared" si="16"/>
        <v>0</v>
      </c>
      <c r="H304" s="2">
        <f t="shared" si="17"/>
        <v>0</v>
      </c>
      <c r="I304" s="2">
        <f t="shared" si="18"/>
        <v>0</v>
      </c>
      <c r="J304" s="2">
        <v>100</v>
      </c>
      <c r="K304" s="2" t="s">
        <v>44</v>
      </c>
      <c r="L304" s="2">
        <v>46</v>
      </c>
      <c r="M304" t="str" cm="1">
        <f t="array" ref="M304">_xlfn.IFS(L304&lt;=14,"Short",L304&lt;=30,"Medium",L304&lt;=45,"Long",L304&lt;=60,"Very Long")</f>
        <v>Very Long</v>
      </c>
      <c r="N304" s="2" t="s">
        <v>30</v>
      </c>
      <c r="O304" s="3">
        <v>6.6</v>
      </c>
    </row>
    <row r="305" spans="1:15" x14ac:dyDescent="0.25">
      <c r="A305" s="4" t="s">
        <v>364</v>
      </c>
      <c r="B305" s="5">
        <v>21</v>
      </c>
      <c r="C305" t="str" cm="1">
        <f t="array" ref="C305">_xlfn.IFS(B305&lt;=30,"Young",B305&lt;=50,"Middle-aged",B305&gt;50,"Older")</f>
        <v>Young</v>
      </c>
      <c r="D305" s="5" t="s">
        <v>10</v>
      </c>
      <c r="E305" s="5" t="s">
        <v>15</v>
      </c>
      <c r="F305" s="5">
        <f t="shared" si="19"/>
        <v>1</v>
      </c>
      <c r="G305" s="5">
        <f t="shared" si="16"/>
        <v>0</v>
      </c>
      <c r="H305" s="5">
        <f t="shared" si="17"/>
        <v>0</v>
      </c>
      <c r="I305" s="5">
        <f t="shared" si="18"/>
        <v>0</v>
      </c>
      <c r="J305" s="5">
        <v>500</v>
      </c>
      <c r="K305" s="5" t="s">
        <v>44</v>
      </c>
      <c r="L305" s="5">
        <v>39</v>
      </c>
      <c r="M305" t="str" cm="1">
        <f t="array" ref="M305">_xlfn.IFS(L305&lt;=14,"Short",L305&lt;=30,"Medium",L305&lt;=45,"Long",L305&lt;=60,"Very Long")</f>
        <v>Long</v>
      </c>
      <c r="N305" s="5" t="s">
        <v>30</v>
      </c>
      <c r="O305" s="6">
        <v>7.7</v>
      </c>
    </row>
    <row r="306" spans="1:15" x14ac:dyDescent="0.25">
      <c r="A306" s="1" t="s">
        <v>365</v>
      </c>
      <c r="B306" s="2">
        <v>72</v>
      </c>
      <c r="C306" t="str" cm="1">
        <f t="array" ref="C306">_xlfn.IFS(B306&lt;=30,"Young",B306&lt;=50,"Middle-aged",B306&gt;50,"Older")</f>
        <v>Older</v>
      </c>
      <c r="D306" s="2" t="s">
        <v>10</v>
      </c>
      <c r="E306" s="2" t="s">
        <v>33</v>
      </c>
      <c r="F306" s="2">
        <f t="shared" si="19"/>
        <v>0</v>
      </c>
      <c r="G306" s="2">
        <f t="shared" si="16"/>
        <v>0</v>
      </c>
      <c r="H306" s="2">
        <f t="shared" si="17"/>
        <v>0</v>
      </c>
      <c r="I306" s="2">
        <f t="shared" si="18"/>
        <v>1</v>
      </c>
      <c r="J306" s="2">
        <v>50</v>
      </c>
      <c r="K306" s="2" t="s">
        <v>34</v>
      </c>
      <c r="L306" s="2">
        <v>50</v>
      </c>
      <c r="M306" t="str" cm="1">
        <f t="array" ref="M306">_xlfn.IFS(L306&lt;=14,"Short",L306&lt;=30,"Medium",L306&lt;=45,"Long",L306&lt;=60,"Very Long")</f>
        <v>Very Long</v>
      </c>
      <c r="N306" s="2" t="s">
        <v>35</v>
      </c>
      <c r="O306" s="3">
        <v>8.5</v>
      </c>
    </row>
    <row r="307" spans="1:15" x14ac:dyDescent="0.25">
      <c r="A307" s="4" t="s">
        <v>366</v>
      </c>
      <c r="B307" s="5">
        <v>28</v>
      </c>
      <c r="C307" t="str" cm="1">
        <f t="array" ref="C307">_xlfn.IFS(B307&lt;=30,"Young",B307&lt;=50,"Middle-aged",B307&gt;50,"Older")</f>
        <v>Young</v>
      </c>
      <c r="D307" s="5" t="s">
        <v>10</v>
      </c>
      <c r="E307" s="5" t="s">
        <v>33</v>
      </c>
      <c r="F307" s="5">
        <f t="shared" si="19"/>
        <v>0</v>
      </c>
      <c r="G307" s="5">
        <f t="shared" si="16"/>
        <v>0</v>
      </c>
      <c r="H307" s="5">
        <f t="shared" si="17"/>
        <v>0</v>
      </c>
      <c r="I307" s="5">
        <f t="shared" si="18"/>
        <v>1</v>
      </c>
      <c r="J307" s="5">
        <v>50</v>
      </c>
      <c r="K307" s="5" t="s">
        <v>47</v>
      </c>
      <c r="L307" s="5">
        <v>30</v>
      </c>
      <c r="M307" t="str" cm="1">
        <f t="array" ref="M307">_xlfn.IFS(L307&lt;=14,"Short",L307&lt;=30,"Medium",L307&lt;=45,"Long",L307&lt;=60,"Very Long")</f>
        <v>Medium</v>
      </c>
      <c r="N307" s="5" t="s">
        <v>345</v>
      </c>
      <c r="O307" s="6">
        <v>6.9</v>
      </c>
    </row>
    <row r="308" spans="1:15" x14ac:dyDescent="0.25">
      <c r="A308" s="1" t="s">
        <v>367</v>
      </c>
      <c r="B308" s="2">
        <v>73</v>
      </c>
      <c r="C308" t="str" cm="1">
        <f t="array" ref="C308">_xlfn.IFS(B308&lt;=30,"Young",B308&lt;=50,"Middle-aged",B308&gt;50,"Older")</f>
        <v>Older</v>
      </c>
      <c r="D308" s="2" t="s">
        <v>10</v>
      </c>
      <c r="E308" s="2" t="s">
        <v>33</v>
      </c>
      <c r="F308" s="2">
        <f t="shared" si="19"/>
        <v>0</v>
      </c>
      <c r="G308" s="2">
        <f t="shared" si="16"/>
        <v>0</v>
      </c>
      <c r="H308" s="2">
        <f t="shared" si="17"/>
        <v>0</v>
      </c>
      <c r="I308" s="2">
        <f t="shared" si="18"/>
        <v>1</v>
      </c>
      <c r="J308" s="2">
        <v>850</v>
      </c>
      <c r="K308" s="2" t="s">
        <v>49</v>
      </c>
      <c r="L308" s="2">
        <v>55</v>
      </c>
      <c r="M308" t="str" cm="1">
        <f t="array" ref="M308">_xlfn.IFS(L308&lt;=14,"Short",L308&lt;=30,"Medium",L308&lt;=45,"Long",L308&lt;=60,"Very Long")</f>
        <v>Very Long</v>
      </c>
      <c r="N308" s="2" t="s">
        <v>30</v>
      </c>
      <c r="O308" s="3">
        <v>6.5</v>
      </c>
    </row>
    <row r="309" spans="1:15" x14ac:dyDescent="0.25">
      <c r="A309" s="4" t="s">
        <v>368</v>
      </c>
      <c r="B309" s="5">
        <v>76</v>
      </c>
      <c r="C309" t="str" cm="1">
        <f t="array" ref="C309">_xlfn.IFS(B309&lt;=30,"Young",B309&lt;=50,"Middle-aged",B309&gt;50,"Older")</f>
        <v>Older</v>
      </c>
      <c r="D309" s="5" t="s">
        <v>10</v>
      </c>
      <c r="E309" s="5" t="s">
        <v>15</v>
      </c>
      <c r="F309" s="5">
        <f t="shared" si="19"/>
        <v>1</v>
      </c>
      <c r="G309" s="5">
        <f t="shared" si="16"/>
        <v>0</v>
      </c>
      <c r="H309" s="5">
        <f t="shared" si="17"/>
        <v>0</v>
      </c>
      <c r="I309" s="5">
        <f t="shared" si="18"/>
        <v>0</v>
      </c>
      <c r="J309" s="5">
        <v>850</v>
      </c>
      <c r="K309" s="5" t="s">
        <v>44</v>
      </c>
      <c r="L309" s="5">
        <v>9</v>
      </c>
      <c r="M309" t="str" cm="1">
        <f t="array" ref="M309">_xlfn.IFS(L309&lt;=14,"Short",L309&lt;=30,"Medium",L309&lt;=45,"Long",L309&lt;=60,"Very Long")</f>
        <v>Short</v>
      </c>
      <c r="N309" s="5" t="s">
        <v>30</v>
      </c>
      <c r="O309" s="6">
        <v>7.2</v>
      </c>
    </row>
    <row r="310" spans="1:15" x14ac:dyDescent="0.25">
      <c r="A310" s="1" t="s">
        <v>369</v>
      </c>
      <c r="B310" s="2">
        <v>34</v>
      </c>
      <c r="C310" t="str" cm="1">
        <f t="array" ref="C310">_xlfn.IFS(B310&lt;=30,"Young",B310&lt;=50,"Middle-aged",B310&gt;50,"Older")</f>
        <v>Middle-aged</v>
      </c>
      <c r="D310" s="2" t="s">
        <v>10</v>
      </c>
      <c r="E310" s="2" t="s">
        <v>15</v>
      </c>
      <c r="F310" s="2">
        <f t="shared" si="19"/>
        <v>1</v>
      </c>
      <c r="G310" s="2">
        <f t="shared" si="16"/>
        <v>0</v>
      </c>
      <c r="H310" s="2">
        <f t="shared" si="17"/>
        <v>0</v>
      </c>
      <c r="I310" s="2">
        <f t="shared" si="18"/>
        <v>0</v>
      </c>
      <c r="J310" s="2">
        <v>50</v>
      </c>
      <c r="K310" s="2" t="s">
        <v>63</v>
      </c>
      <c r="L310" s="2">
        <v>33</v>
      </c>
      <c r="M310" t="str" cm="1">
        <f t="array" ref="M310">_xlfn.IFS(L310&lt;=14,"Short",L310&lt;=30,"Medium",L310&lt;=45,"Long",L310&lt;=60,"Very Long")</f>
        <v>Long</v>
      </c>
      <c r="N310" s="2" t="s">
        <v>64</v>
      </c>
      <c r="O310" s="3">
        <v>5.7</v>
      </c>
    </row>
    <row r="311" spans="1:15" x14ac:dyDescent="0.25">
      <c r="A311" s="4" t="s">
        <v>370</v>
      </c>
      <c r="B311" s="5">
        <v>55</v>
      </c>
      <c r="C311" t="str" cm="1">
        <f t="array" ref="C311">_xlfn.IFS(B311&lt;=30,"Young",B311&lt;=50,"Middle-aged",B311&gt;50,"Older")</f>
        <v>Older</v>
      </c>
      <c r="D311" s="5" t="s">
        <v>19</v>
      </c>
      <c r="E311" s="5" t="s">
        <v>33</v>
      </c>
      <c r="F311" s="5">
        <f t="shared" si="19"/>
        <v>0</v>
      </c>
      <c r="G311" s="5">
        <f t="shared" si="16"/>
        <v>0</v>
      </c>
      <c r="H311" s="5">
        <f t="shared" si="17"/>
        <v>0</v>
      </c>
      <c r="I311" s="5">
        <f t="shared" si="18"/>
        <v>1</v>
      </c>
      <c r="J311" s="5">
        <v>100</v>
      </c>
      <c r="K311" s="5" t="s">
        <v>47</v>
      </c>
      <c r="L311" s="5">
        <v>41</v>
      </c>
      <c r="M311" t="str" cm="1">
        <f t="array" ref="M311">_xlfn.IFS(L311&lt;=14,"Short",L311&lt;=30,"Medium",L311&lt;=45,"Long",L311&lt;=60,"Very Long")</f>
        <v>Long</v>
      </c>
      <c r="N311" s="5" t="s">
        <v>225</v>
      </c>
      <c r="O311" s="6">
        <v>10</v>
      </c>
    </row>
    <row r="312" spans="1:15" x14ac:dyDescent="0.25">
      <c r="A312" s="1" t="s">
        <v>371</v>
      </c>
      <c r="B312" s="2">
        <v>41</v>
      </c>
      <c r="C312" t="str" cm="1">
        <f t="array" ref="C312">_xlfn.IFS(B312&lt;=30,"Young",B312&lt;=50,"Middle-aged",B312&gt;50,"Older")</f>
        <v>Middle-aged</v>
      </c>
      <c r="D312" s="2" t="s">
        <v>10</v>
      </c>
      <c r="E312" s="2" t="s">
        <v>11</v>
      </c>
      <c r="F312" s="2">
        <f t="shared" si="19"/>
        <v>0</v>
      </c>
      <c r="G312" s="2">
        <f t="shared" si="16"/>
        <v>0</v>
      </c>
      <c r="H312" s="2">
        <f t="shared" si="17"/>
        <v>0</v>
      </c>
      <c r="I312" s="2">
        <f t="shared" si="18"/>
        <v>0</v>
      </c>
      <c r="J312" s="2">
        <v>850</v>
      </c>
      <c r="K312" s="2" t="s">
        <v>84</v>
      </c>
      <c r="L312" s="2">
        <v>24</v>
      </c>
      <c r="M312" t="str" cm="1">
        <f t="array" ref="M312">_xlfn.IFS(L312&lt;=14,"Short",L312&lt;=30,"Medium",L312&lt;=45,"Long",L312&lt;=60,"Very Long")</f>
        <v>Medium</v>
      </c>
      <c r="N312" s="2" t="s">
        <v>93</v>
      </c>
      <c r="O312" s="3">
        <v>4.5999999999999996</v>
      </c>
    </row>
    <row r="313" spans="1:15" x14ac:dyDescent="0.25">
      <c r="A313" s="4" t="s">
        <v>372</v>
      </c>
      <c r="B313" s="5">
        <v>22</v>
      </c>
      <c r="C313" t="str" cm="1">
        <f t="array" ref="C313">_xlfn.IFS(B313&lt;=30,"Young",B313&lt;=50,"Middle-aged",B313&gt;50,"Older")</f>
        <v>Young</v>
      </c>
      <c r="D313" s="5" t="s">
        <v>19</v>
      </c>
      <c r="E313" s="5" t="s">
        <v>11</v>
      </c>
      <c r="F313" s="5">
        <f t="shared" si="19"/>
        <v>0</v>
      </c>
      <c r="G313" s="5">
        <f t="shared" si="16"/>
        <v>0</v>
      </c>
      <c r="H313" s="5">
        <f t="shared" si="17"/>
        <v>0</v>
      </c>
      <c r="I313" s="5">
        <f t="shared" si="18"/>
        <v>0</v>
      </c>
      <c r="J313" s="5">
        <v>250</v>
      </c>
      <c r="K313" s="5" t="s">
        <v>12</v>
      </c>
      <c r="L313" s="5">
        <v>53</v>
      </c>
      <c r="M313" t="str" cm="1">
        <f t="array" ref="M313">_xlfn.IFS(L313&lt;=14,"Short",L313&lt;=30,"Medium",L313&lt;=45,"Long",L313&lt;=60,"Very Long")</f>
        <v>Very Long</v>
      </c>
      <c r="N313" s="5" t="s">
        <v>13</v>
      </c>
      <c r="O313" s="6">
        <v>7.3</v>
      </c>
    </row>
    <row r="314" spans="1:15" x14ac:dyDescent="0.25">
      <c r="A314" s="1" t="s">
        <v>373</v>
      </c>
      <c r="B314" s="2">
        <v>69</v>
      </c>
      <c r="C314" t="str" cm="1">
        <f t="array" ref="C314">_xlfn.IFS(B314&lt;=30,"Young",B314&lt;=50,"Middle-aged",B314&gt;50,"Older")</f>
        <v>Older</v>
      </c>
      <c r="D314" s="2" t="s">
        <v>19</v>
      </c>
      <c r="E314" s="2" t="s">
        <v>24</v>
      </c>
      <c r="F314" s="2">
        <f t="shared" si="19"/>
        <v>0</v>
      </c>
      <c r="G314" s="2">
        <f t="shared" si="16"/>
        <v>0</v>
      </c>
      <c r="H314" s="2">
        <f t="shared" si="17"/>
        <v>1</v>
      </c>
      <c r="I314" s="2">
        <f t="shared" si="18"/>
        <v>0</v>
      </c>
      <c r="J314" s="2">
        <v>100</v>
      </c>
      <c r="K314" s="2" t="s">
        <v>39</v>
      </c>
      <c r="L314" s="2">
        <v>25</v>
      </c>
      <c r="M314" t="str" cm="1">
        <f t="array" ref="M314">_xlfn.IFS(L314&lt;=14,"Short",L314&lt;=30,"Medium",L314&lt;=45,"Long",L314&lt;=60,"Very Long")</f>
        <v>Medium</v>
      </c>
      <c r="N314" s="2" t="s">
        <v>136</v>
      </c>
      <c r="O314" s="3">
        <v>10</v>
      </c>
    </row>
    <row r="315" spans="1:15" x14ac:dyDescent="0.25">
      <c r="A315" s="4" t="s">
        <v>374</v>
      </c>
      <c r="B315" s="5">
        <v>51</v>
      </c>
      <c r="C315" t="str" cm="1">
        <f t="array" ref="C315">_xlfn.IFS(B315&lt;=30,"Young",B315&lt;=50,"Middle-aged",B315&gt;50,"Older")</f>
        <v>Older</v>
      </c>
      <c r="D315" s="5" t="s">
        <v>10</v>
      </c>
      <c r="E315" s="5" t="s">
        <v>20</v>
      </c>
      <c r="F315" s="5">
        <f t="shared" si="19"/>
        <v>0</v>
      </c>
      <c r="G315" s="5">
        <f t="shared" si="16"/>
        <v>1</v>
      </c>
      <c r="H315" s="5">
        <f t="shared" si="17"/>
        <v>0</v>
      </c>
      <c r="I315" s="5">
        <f t="shared" si="18"/>
        <v>0</v>
      </c>
      <c r="J315" s="5">
        <v>100</v>
      </c>
      <c r="K315" s="5" t="s">
        <v>37</v>
      </c>
      <c r="L315" s="5">
        <v>14</v>
      </c>
      <c r="M315" t="str" cm="1">
        <f t="array" ref="M315">_xlfn.IFS(L315&lt;=14,"Short",L315&lt;=30,"Medium",L315&lt;=45,"Long",L315&lt;=60,"Very Long")</f>
        <v>Short</v>
      </c>
      <c r="N315" s="5" t="s">
        <v>88</v>
      </c>
      <c r="O315" s="6">
        <v>7</v>
      </c>
    </row>
    <row r="316" spans="1:15" x14ac:dyDescent="0.25">
      <c r="A316" s="1" t="s">
        <v>375</v>
      </c>
      <c r="B316" s="2">
        <v>23</v>
      </c>
      <c r="C316" t="str" cm="1">
        <f t="array" ref="C316">_xlfn.IFS(B316&lt;=30,"Young",B316&lt;=50,"Middle-aged",B316&gt;50,"Older")</f>
        <v>Young</v>
      </c>
      <c r="D316" s="2" t="s">
        <v>19</v>
      </c>
      <c r="E316" s="2" t="s">
        <v>11</v>
      </c>
      <c r="F316" s="2">
        <f t="shared" si="19"/>
        <v>0</v>
      </c>
      <c r="G316" s="2">
        <f t="shared" si="16"/>
        <v>0</v>
      </c>
      <c r="H316" s="2">
        <f t="shared" si="17"/>
        <v>0</v>
      </c>
      <c r="I316" s="2">
        <f t="shared" si="18"/>
        <v>0</v>
      </c>
      <c r="J316" s="2">
        <v>500</v>
      </c>
      <c r="K316" s="2" t="s">
        <v>84</v>
      </c>
      <c r="L316" s="2">
        <v>9</v>
      </c>
      <c r="M316" t="str" cm="1">
        <f t="array" ref="M316">_xlfn.IFS(L316&lt;=14,"Short",L316&lt;=30,"Medium",L316&lt;=45,"Long",L316&lt;=60,"Very Long")</f>
        <v>Short</v>
      </c>
      <c r="N316" s="2" t="s">
        <v>85</v>
      </c>
      <c r="O316" s="3">
        <v>6.7</v>
      </c>
    </row>
    <row r="317" spans="1:15" x14ac:dyDescent="0.25">
      <c r="A317" s="4" t="s">
        <v>376</v>
      </c>
      <c r="B317" s="5">
        <v>39</v>
      </c>
      <c r="C317" t="str" cm="1">
        <f t="array" ref="C317">_xlfn.IFS(B317&lt;=30,"Young",B317&lt;=50,"Middle-aged",B317&gt;50,"Older")</f>
        <v>Middle-aged</v>
      </c>
      <c r="D317" s="5" t="s">
        <v>19</v>
      </c>
      <c r="E317" s="5" t="s">
        <v>15</v>
      </c>
      <c r="F317" s="5">
        <f t="shared" si="19"/>
        <v>1</v>
      </c>
      <c r="G317" s="5">
        <f t="shared" si="16"/>
        <v>0</v>
      </c>
      <c r="H317" s="5">
        <f t="shared" si="17"/>
        <v>0</v>
      </c>
      <c r="I317" s="5">
        <f t="shared" si="18"/>
        <v>0</v>
      </c>
      <c r="J317" s="5">
        <v>100</v>
      </c>
      <c r="K317" s="5" t="s">
        <v>16</v>
      </c>
      <c r="L317" s="5">
        <v>40</v>
      </c>
      <c r="M317" t="str" cm="1">
        <f t="array" ref="M317">_xlfn.IFS(L317&lt;=14,"Short",L317&lt;=30,"Medium",L317&lt;=45,"Long",L317&lt;=60,"Very Long")</f>
        <v>Long</v>
      </c>
      <c r="N317" s="5" t="s">
        <v>30</v>
      </c>
      <c r="O317" s="6">
        <v>6.5</v>
      </c>
    </row>
    <row r="318" spans="1:15" x14ac:dyDescent="0.25">
      <c r="A318" s="1" t="s">
        <v>377</v>
      </c>
      <c r="B318" s="2">
        <v>28</v>
      </c>
      <c r="C318" t="str" cm="1">
        <f t="array" ref="C318">_xlfn.IFS(B318&lt;=30,"Young",B318&lt;=50,"Middle-aged",B318&gt;50,"Older")</f>
        <v>Young</v>
      </c>
      <c r="D318" s="2" t="s">
        <v>19</v>
      </c>
      <c r="E318" s="2" t="s">
        <v>11</v>
      </c>
      <c r="F318" s="2">
        <f t="shared" si="19"/>
        <v>0</v>
      </c>
      <c r="G318" s="2">
        <f t="shared" si="16"/>
        <v>0</v>
      </c>
      <c r="H318" s="2">
        <f t="shared" si="17"/>
        <v>0</v>
      </c>
      <c r="I318" s="2">
        <f t="shared" si="18"/>
        <v>0</v>
      </c>
      <c r="J318" s="2">
        <v>50</v>
      </c>
      <c r="K318" s="2" t="s">
        <v>51</v>
      </c>
      <c r="L318" s="2">
        <v>10</v>
      </c>
      <c r="M318" t="str" cm="1">
        <f t="array" ref="M318">_xlfn.IFS(L318&lt;=14,"Short",L318&lt;=30,"Medium",L318&lt;=45,"Long",L318&lt;=60,"Very Long")</f>
        <v>Short</v>
      </c>
      <c r="N318" s="2" t="s">
        <v>13</v>
      </c>
      <c r="O318" s="3">
        <v>6.7</v>
      </c>
    </row>
    <row r="319" spans="1:15" x14ac:dyDescent="0.25">
      <c r="A319" s="4" t="s">
        <v>378</v>
      </c>
      <c r="B319" s="5">
        <v>65</v>
      </c>
      <c r="C319" t="str" cm="1">
        <f t="array" ref="C319">_xlfn.IFS(B319&lt;=30,"Young",B319&lt;=50,"Middle-aged",B319&gt;50,"Older")</f>
        <v>Older</v>
      </c>
      <c r="D319" s="5" t="s">
        <v>19</v>
      </c>
      <c r="E319" s="5" t="s">
        <v>24</v>
      </c>
      <c r="F319" s="5">
        <f t="shared" si="19"/>
        <v>0</v>
      </c>
      <c r="G319" s="5">
        <f t="shared" si="16"/>
        <v>0</v>
      </c>
      <c r="H319" s="5">
        <f t="shared" si="17"/>
        <v>1</v>
      </c>
      <c r="I319" s="5">
        <f t="shared" si="18"/>
        <v>0</v>
      </c>
      <c r="J319" s="5">
        <v>100</v>
      </c>
      <c r="K319" s="5" t="s">
        <v>25</v>
      </c>
      <c r="L319" s="5">
        <v>30</v>
      </c>
      <c r="M319" t="str" cm="1">
        <f t="array" ref="M319">_xlfn.IFS(L319&lt;=14,"Short",L319&lt;=30,"Medium",L319&lt;=45,"Long",L319&lt;=60,"Very Long")</f>
        <v>Medium</v>
      </c>
      <c r="N319" s="5" t="s">
        <v>26</v>
      </c>
      <c r="O319" s="6">
        <v>9.1</v>
      </c>
    </row>
    <row r="320" spans="1:15" x14ac:dyDescent="0.25">
      <c r="A320" s="1" t="s">
        <v>379</v>
      </c>
      <c r="B320" s="2">
        <v>33</v>
      </c>
      <c r="C320" t="str" cm="1">
        <f t="array" ref="C320">_xlfn.IFS(B320&lt;=30,"Young",B320&lt;=50,"Middle-aged",B320&gt;50,"Older")</f>
        <v>Middle-aged</v>
      </c>
      <c r="D320" s="2" t="s">
        <v>10</v>
      </c>
      <c r="E320" s="2" t="s">
        <v>24</v>
      </c>
      <c r="F320" s="2">
        <f t="shared" si="19"/>
        <v>0</v>
      </c>
      <c r="G320" s="2">
        <f t="shared" si="16"/>
        <v>0</v>
      </c>
      <c r="H320" s="2">
        <f t="shared" si="17"/>
        <v>1</v>
      </c>
      <c r="I320" s="2">
        <f t="shared" si="18"/>
        <v>0</v>
      </c>
      <c r="J320" s="2">
        <v>100</v>
      </c>
      <c r="K320" s="2" t="s">
        <v>39</v>
      </c>
      <c r="L320" s="2">
        <v>8</v>
      </c>
      <c r="M320" t="str" cm="1">
        <f t="array" ref="M320">_xlfn.IFS(L320&lt;=14,"Short",L320&lt;=30,"Medium",L320&lt;=45,"Long",L320&lt;=60,"Very Long")</f>
        <v>Short</v>
      </c>
      <c r="N320" s="2" t="s">
        <v>85</v>
      </c>
      <c r="O320" s="3">
        <v>3.7</v>
      </c>
    </row>
    <row r="321" spans="1:15" x14ac:dyDescent="0.25">
      <c r="A321" s="4" t="s">
        <v>380</v>
      </c>
      <c r="B321" s="5">
        <v>50</v>
      </c>
      <c r="C321" t="str" cm="1">
        <f t="array" ref="C321">_xlfn.IFS(B321&lt;=30,"Young",B321&lt;=50,"Middle-aged",B321&gt;50,"Older")</f>
        <v>Middle-aged</v>
      </c>
      <c r="D321" s="5" t="s">
        <v>19</v>
      </c>
      <c r="E321" s="5" t="s">
        <v>20</v>
      </c>
      <c r="F321" s="5">
        <f t="shared" si="19"/>
        <v>0</v>
      </c>
      <c r="G321" s="5">
        <f t="shared" si="16"/>
        <v>1</v>
      </c>
      <c r="H321" s="5">
        <f t="shared" si="17"/>
        <v>0</v>
      </c>
      <c r="I321" s="5">
        <f t="shared" si="18"/>
        <v>0</v>
      </c>
      <c r="J321" s="5">
        <v>50</v>
      </c>
      <c r="K321" s="5" t="s">
        <v>21</v>
      </c>
      <c r="L321" s="5">
        <v>43</v>
      </c>
      <c r="M321" t="str" cm="1">
        <f t="array" ref="M321">_xlfn.IFS(L321&lt;=14,"Short",L321&lt;=30,"Medium",L321&lt;=45,"Long",L321&lt;=60,"Very Long")</f>
        <v>Long</v>
      </c>
      <c r="N321" s="5" t="s">
        <v>28</v>
      </c>
      <c r="O321" s="6">
        <v>9.3000000000000007</v>
      </c>
    </row>
    <row r="322" spans="1:15" x14ac:dyDescent="0.25">
      <c r="A322" s="1" t="s">
        <v>381</v>
      </c>
      <c r="B322" s="2">
        <v>26</v>
      </c>
      <c r="C322" t="str" cm="1">
        <f t="array" ref="C322">_xlfn.IFS(B322&lt;=30,"Young",B322&lt;=50,"Middle-aged",B322&gt;50,"Older")</f>
        <v>Young</v>
      </c>
      <c r="D322" s="2" t="s">
        <v>10</v>
      </c>
      <c r="E322" s="2" t="s">
        <v>11</v>
      </c>
      <c r="F322" s="2">
        <f t="shared" si="19"/>
        <v>0</v>
      </c>
      <c r="G322" s="2">
        <f t="shared" ref="G322:G385" si="20">IF($E322="Depression",1,0)</f>
        <v>0</v>
      </c>
      <c r="H322" s="2">
        <f t="shared" ref="H322:H385" si="21">IF($E322="Diabetes",1,0)</f>
        <v>0</v>
      </c>
      <c r="I322" s="2">
        <f t="shared" ref="I322:I385" si="22">IF($E322="Pain relief",1,0)</f>
        <v>0</v>
      </c>
      <c r="J322" s="2">
        <v>50</v>
      </c>
      <c r="K322" s="2" t="s">
        <v>12</v>
      </c>
      <c r="L322" s="2">
        <v>43</v>
      </c>
      <c r="M322" t="str" cm="1">
        <f t="array" ref="M322">_xlfn.IFS(L322&lt;=14,"Short",L322&lt;=30,"Medium",L322&lt;=45,"Long",L322&lt;=60,"Very Long")</f>
        <v>Long</v>
      </c>
      <c r="N322" s="2" t="s">
        <v>13</v>
      </c>
      <c r="O322" s="3">
        <v>4.9000000000000004</v>
      </c>
    </row>
    <row r="323" spans="1:15" x14ac:dyDescent="0.25">
      <c r="A323" s="4" t="s">
        <v>382</v>
      </c>
      <c r="B323" s="5">
        <v>77</v>
      </c>
      <c r="C323" t="str" cm="1">
        <f t="array" ref="C323">_xlfn.IFS(B323&lt;=30,"Young",B323&lt;=50,"Middle-aged",B323&gt;50,"Older")</f>
        <v>Older</v>
      </c>
      <c r="D323" s="5" t="s">
        <v>19</v>
      </c>
      <c r="E323" s="5" t="s">
        <v>15</v>
      </c>
      <c r="F323" s="5">
        <f t="shared" ref="F323:F386" si="23">IF($E323="Hypertension",1,0)</f>
        <v>1</v>
      </c>
      <c r="G323" s="5">
        <f t="shared" si="20"/>
        <v>0</v>
      </c>
      <c r="H323" s="5">
        <f t="shared" si="21"/>
        <v>0</v>
      </c>
      <c r="I323" s="5">
        <f t="shared" si="22"/>
        <v>0</v>
      </c>
      <c r="J323" s="5">
        <v>250</v>
      </c>
      <c r="K323" s="5" t="s">
        <v>63</v>
      </c>
      <c r="L323" s="5">
        <v>54</v>
      </c>
      <c r="M323" t="str" cm="1">
        <f t="array" ref="M323">_xlfn.IFS(L323&lt;=14,"Short",L323&lt;=30,"Medium",L323&lt;=45,"Long",L323&lt;=60,"Very Long")</f>
        <v>Very Long</v>
      </c>
      <c r="N323" s="5" t="s">
        <v>110</v>
      </c>
      <c r="O323" s="6">
        <v>6.6</v>
      </c>
    </row>
    <row r="324" spans="1:15" x14ac:dyDescent="0.25">
      <c r="A324" s="1" t="s">
        <v>383</v>
      </c>
      <c r="B324" s="2">
        <v>76</v>
      </c>
      <c r="C324" t="str" cm="1">
        <f t="array" ref="C324">_xlfn.IFS(B324&lt;=30,"Young",B324&lt;=50,"Middle-aged",B324&gt;50,"Older")</f>
        <v>Older</v>
      </c>
      <c r="D324" s="2" t="s">
        <v>19</v>
      </c>
      <c r="E324" s="2" t="s">
        <v>15</v>
      </c>
      <c r="F324" s="2">
        <f t="shared" si="23"/>
        <v>1</v>
      </c>
      <c r="G324" s="2">
        <f t="shared" si="20"/>
        <v>0</v>
      </c>
      <c r="H324" s="2">
        <f t="shared" si="21"/>
        <v>0</v>
      </c>
      <c r="I324" s="2">
        <f t="shared" si="22"/>
        <v>0</v>
      </c>
      <c r="J324" s="2">
        <v>250</v>
      </c>
      <c r="K324" s="2" t="s">
        <v>16</v>
      </c>
      <c r="L324" s="2">
        <v>39</v>
      </c>
      <c r="M324" t="str" cm="1">
        <f t="array" ref="M324">_xlfn.IFS(L324&lt;=14,"Short",L324&lt;=30,"Medium",L324&lt;=45,"Long",L324&lt;=60,"Very Long")</f>
        <v>Long</v>
      </c>
      <c r="N324" s="2" t="s">
        <v>308</v>
      </c>
      <c r="O324" s="3">
        <v>6.4</v>
      </c>
    </row>
    <row r="325" spans="1:15" x14ac:dyDescent="0.25">
      <c r="A325" s="4" t="s">
        <v>384</v>
      </c>
      <c r="B325" s="5">
        <v>23</v>
      </c>
      <c r="C325" t="str" cm="1">
        <f t="array" ref="C325">_xlfn.IFS(B325&lt;=30,"Young",B325&lt;=50,"Middle-aged",B325&gt;50,"Older")</f>
        <v>Young</v>
      </c>
      <c r="D325" s="5" t="s">
        <v>10</v>
      </c>
      <c r="E325" s="5" t="s">
        <v>33</v>
      </c>
      <c r="F325" s="5">
        <f t="shared" si="23"/>
        <v>0</v>
      </c>
      <c r="G325" s="5">
        <f t="shared" si="20"/>
        <v>0</v>
      </c>
      <c r="H325" s="5">
        <f t="shared" si="21"/>
        <v>0</v>
      </c>
      <c r="I325" s="5">
        <f t="shared" si="22"/>
        <v>1</v>
      </c>
      <c r="J325" s="5">
        <v>50</v>
      </c>
      <c r="K325" s="5" t="s">
        <v>49</v>
      </c>
      <c r="L325" s="5">
        <v>5</v>
      </c>
      <c r="M325" t="str" cm="1">
        <f t="array" ref="M325">_xlfn.IFS(L325&lt;=14,"Short",L325&lt;=30,"Medium",L325&lt;=45,"Long",L325&lt;=60,"Very Long")</f>
        <v>Short</v>
      </c>
      <c r="N325" s="5" t="s">
        <v>13</v>
      </c>
      <c r="O325" s="6">
        <v>7.9</v>
      </c>
    </row>
    <row r="326" spans="1:15" x14ac:dyDescent="0.25">
      <c r="A326" s="1" t="s">
        <v>385</v>
      </c>
      <c r="B326" s="2">
        <v>33</v>
      </c>
      <c r="C326" t="str" cm="1">
        <f t="array" ref="C326">_xlfn.IFS(B326&lt;=30,"Young",B326&lt;=50,"Middle-aged",B326&gt;50,"Older")</f>
        <v>Middle-aged</v>
      </c>
      <c r="D326" s="2" t="s">
        <v>19</v>
      </c>
      <c r="E326" s="2" t="s">
        <v>15</v>
      </c>
      <c r="F326" s="2">
        <f t="shared" si="23"/>
        <v>1</v>
      </c>
      <c r="G326" s="2">
        <f t="shared" si="20"/>
        <v>0</v>
      </c>
      <c r="H326" s="2">
        <f t="shared" si="21"/>
        <v>0</v>
      </c>
      <c r="I326" s="2">
        <f t="shared" si="22"/>
        <v>0</v>
      </c>
      <c r="J326" s="2">
        <v>250</v>
      </c>
      <c r="K326" s="2" t="s">
        <v>44</v>
      </c>
      <c r="L326" s="2">
        <v>28</v>
      </c>
      <c r="M326" t="str" cm="1">
        <f t="array" ref="M326">_xlfn.IFS(L326&lt;=14,"Short",L326&lt;=30,"Medium",L326&lt;=45,"Long",L326&lt;=60,"Very Long")</f>
        <v>Medium</v>
      </c>
      <c r="N326" s="2" t="s">
        <v>30</v>
      </c>
      <c r="O326" s="3">
        <v>4.5999999999999996</v>
      </c>
    </row>
    <row r="327" spans="1:15" x14ac:dyDescent="0.25">
      <c r="A327" s="4" t="s">
        <v>386</v>
      </c>
      <c r="B327" s="5">
        <v>46</v>
      </c>
      <c r="C327" t="str" cm="1">
        <f t="array" ref="C327">_xlfn.IFS(B327&lt;=30,"Young",B327&lt;=50,"Middle-aged",B327&gt;50,"Older")</f>
        <v>Middle-aged</v>
      </c>
      <c r="D327" s="5" t="s">
        <v>19</v>
      </c>
      <c r="E327" s="5" t="s">
        <v>20</v>
      </c>
      <c r="F327" s="5">
        <f t="shared" si="23"/>
        <v>0</v>
      </c>
      <c r="G327" s="5">
        <f t="shared" si="20"/>
        <v>1</v>
      </c>
      <c r="H327" s="5">
        <f t="shared" si="21"/>
        <v>0</v>
      </c>
      <c r="I327" s="5">
        <f t="shared" si="22"/>
        <v>0</v>
      </c>
      <c r="J327" s="5">
        <v>250</v>
      </c>
      <c r="K327" s="5" t="s">
        <v>21</v>
      </c>
      <c r="L327" s="5">
        <v>40</v>
      </c>
      <c r="M327" t="str" cm="1">
        <f t="array" ref="M327">_xlfn.IFS(L327&lt;=14,"Short",L327&lt;=30,"Medium",L327&lt;=45,"Long",L327&lt;=60,"Very Long")</f>
        <v>Long</v>
      </c>
      <c r="N327" s="5" t="s">
        <v>41</v>
      </c>
      <c r="O327" s="6">
        <v>7.7</v>
      </c>
    </row>
    <row r="328" spans="1:15" x14ac:dyDescent="0.25">
      <c r="A328" s="1" t="s">
        <v>387</v>
      </c>
      <c r="B328" s="2">
        <v>20</v>
      </c>
      <c r="C328" t="str" cm="1">
        <f t="array" ref="C328">_xlfn.IFS(B328&lt;=30,"Young",B328&lt;=50,"Middle-aged",B328&gt;50,"Older")</f>
        <v>Young</v>
      </c>
      <c r="D328" s="2" t="s">
        <v>19</v>
      </c>
      <c r="E328" s="2" t="s">
        <v>20</v>
      </c>
      <c r="F328" s="2">
        <f t="shared" si="23"/>
        <v>0</v>
      </c>
      <c r="G328" s="2">
        <f t="shared" si="20"/>
        <v>1</v>
      </c>
      <c r="H328" s="2">
        <f t="shared" si="21"/>
        <v>0</v>
      </c>
      <c r="I328" s="2">
        <f t="shared" si="22"/>
        <v>0</v>
      </c>
      <c r="J328" s="2">
        <v>100</v>
      </c>
      <c r="K328" s="2" t="s">
        <v>55</v>
      </c>
      <c r="L328" s="2">
        <v>10</v>
      </c>
      <c r="M328" t="str" cm="1">
        <f t="array" ref="M328">_xlfn.IFS(L328&lt;=14,"Short",L328&lt;=30,"Medium",L328&lt;=45,"Long",L328&lt;=60,"Very Long")</f>
        <v>Short</v>
      </c>
      <c r="N328" s="2" t="s">
        <v>78</v>
      </c>
      <c r="O328" s="3">
        <v>10</v>
      </c>
    </row>
    <row r="329" spans="1:15" x14ac:dyDescent="0.25">
      <c r="A329" s="4" t="s">
        <v>388</v>
      </c>
      <c r="B329" s="5">
        <v>37</v>
      </c>
      <c r="C329" t="str" cm="1">
        <f t="array" ref="C329">_xlfn.IFS(B329&lt;=30,"Young",B329&lt;=50,"Middle-aged",B329&gt;50,"Older")</f>
        <v>Middle-aged</v>
      </c>
      <c r="D329" s="5" t="s">
        <v>10</v>
      </c>
      <c r="E329" s="5" t="s">
        <v>15</v>
      </c>
      <c r="F329" s="5">
        <f t="shared" si="23"/>
        <v>1</v>
      </c>
      <c r="G329" s="5">
        <f t="shared" si="20"/>
        <v>0</v>
      </c>
      <c r="H329" s="5">
        <f t="shared" si="21"/>
        <v>0</v>
      </c>
      <c r="I329" s="5">
        <f t="shared" si="22"/>
        <v>0</v>
      </c>
      <c r="J329" s="5">
        <v>500</v>
      </c>
      <c r="K329" s="5" t="s">
        <v>16</v>
      </c>
      <c r="L329" s="5">
        <v>45</v>
      </c>
      <c r="M329" t="str" cm="1">
        <f t="array" ref="M329">_xlfn.IFS(L329&lt;=14,"Short",L329&lt;=30,"Medium",L329&lt;=45,"Long",L329&lt;=60,"Very Long")</f>
        <v>Long</v>
      </c>
      <c r="N329" s="5" t="s">
        <v>30</v>
      </c>
      <c r="O329" s="6">
        <v>5</v>
      </c>
    </row>
    <row r="330" spans="1:15" x14ac:dyDescent="0.25">
      <c r="A330" s="1" t="s">
        <v>389</v>
      </c>
      <c r="B330" s="2">
        <v>77</v>
      </c>
      <c r="C330" t="str" cm="1">
        <f t="array" ref="C330">_xlfn.IFS(B330&lt;=30,"Young",B330&lt;=50,"Middle-aged",B330&gt;50,"Older")</f>
        <v>Older</v>
      </c>
      <c r="D330" s="2" t="s">
        <v>19</v>
      </c>
      <c r="E330" s="2" t="s">
        <v>15</v>
      </c>
      <c r="F330" s="2">
        <f t="shared" si="23"/>
        <v>1</v>
      </c>
      <c r="G330" s="2">
        <f t="shared" si="20"/>
        <v>0</v>
      </c>
      <c r="H330" s="2">
        <f t="shared" si="21"/>
        <v>0</v>
      </c>
      <c r="I330" s="2">
        <f t="shared" si="22"/>
        <v>0</v>
      </c>
      <c r="J330" s="2">
        <v>500</v>
      </c>
      <c r="K330" s="2" t="s">
        <v>63</v>
      </c>
      <c r="L330" s="2">
        <v>58</v>
      </c>
      <c r="M330" t="str" cm="1">
        <f t="array" ref="M330">_xlfn.IFS(L330&lt;=14,"Short",L330&lt;=30,"Medium",L330&lt;=45,"Long",L330&lt;=60,"Very Long")</f>
        <v>Very Long</v>
      </c>
      <c r="N330" s="2" t="s">
        <v>64</v>
      </c>
      <c r="O330" s="3">
        <v>7.3</v>
      </c>
    </row>
    <row r="331" spans="1:15" x14ac:dyDescent="0.25">
      <c r="A331" s="4" t="s">
        <v>390</v>
      </c>
      <c r="B331" s="5">
        <v>76</v>
      </c>
      <c r="C331" t="str" cm="1">
        <f t="array" ref="C331">_xlfn.IFS(B331&lt;=30,"Young",B331&lt;=50,"Middle-aged",B331&gt;50,"Older")</f>
        <v>Older</v>
      </c>
      <c r="D331" s="5" t="s">
        <v>10</v>
      </c>
      <c r="E331" s="5" t="s">
        <v>33</v>
      </c>
      <c r="F331" s="5">
        <f t="shared" si="23"/>
        <v>0</v>
      </c>
      <c r="G331" s="5">
        <f t="shared" si="20"/>
        <v>0</v>
      </c>
      <c r="H331" s="5">
        <f t="shared" si="21"/>
        <v>0</v>
      </c>
      <c r="I331" s="5">
        <f t="shared" si="22"/>
        <v>1</v>
      </c>
      <c r="J331" s="5">
        <v>100</v>
      </c>
      <c r="K331" s="5" t="s">
        <v>47</v>
      </c>
      <c r="L331" s="5">
        <v>50</v>
      </c>
      <c r="M331" t="str" cm="1">
        <f t="array" ref="M331">_xlfn.IFS(L331&lt;=14,"Short",L331&lt;=30,"Medium",L331&lt;=45,"Long",L331&lt;=60,"Very Long")</f>
        <v>Very Long</v>
      </c>
      <c r="N331" s="5" t="s">
        <v>225</v>
      </c>
      <c r="O331" s="6">
        <v>6</v>
      </c>
    </row>
    <row r="332" spans="1:15" x14ac:dyDescent="0.25">
      <c r="A332" s="1" t="s">
        <v>391</v>
      </c>
      <c r="B332" s="2">
        <v>53</v>
      </c>
      <c r="C332" t="str" cm="1">
        <f t="array" ref="C332">_xlfn.IFS(B332&lt;=30,"Young",B332&lt;=50,"Middle-aged",B332&gt;50,"Older")</f>
        <v>Older</v>
      </c>
      <c r="D332" s="2" t="s">
        <v>19</v>
      </c>
      <c r="E332" s="2" t="s">
        <v>15</v>
      </c>
      <c r="F332" s="2">
        <f t="shared" si="23"/>
        <v>1</v>
      </c>
      <c r="G332" s="2">
        <f t="shared" si="20"/>
        <v>0</v>
      </c>
      <c r="H332" s="2">
        <f t="shared" si="21"/>
        <v>0</v>
      </c>
      <c r="I332" s="2">
        <f t="shared" si="22"/>
        <v>0</v>
      </c>
      <c r="J332" s="2">
        <v>500</v>
      </c>
      <c r="K332" s="2" t="s">
        <v>16</v>
      </c>
      <c r="L332" s="2">
        <v>48</v>
      </c>
      <c r="M332" t="str" cm="1">
        <f t="array" ref="M332">_xlfn.IFS(L332&lt;=14,"Short",L332&lt;=30,"Medium",L332&lt;=45,"Long",L332&lt;=60,"Very Long")</f>
        <v>Very Long</v>
      </c>
      <c r="N332" s="2" t="s">
        <v>17</v>
      </c>
      <c r="O332" s="3">
        <v>7.6</v>
      </c>
    </row>
    <row r="333" spans="1:15" x14ac:dyDescent="0.25">
      <c r="A333" s="4" t="s">
        <v>392</v>
      </c>
      <c r="B333" s="5">
        <v>36</v>
      </c>
      <c r="C333" t="str" cm="1">
        <f t="array" ref="C333">_xlfn.IFS(B333&lt;=30,"Young",B333&lt;=50,"Middle-aged",B333&gt;50,"Older")</f>
        <v>Middle-aged</v>
      </c>
      <c r="D333" s="5" t="s">
        <v>10</v>
      </c>
      <c r="E333" s="5" t="s">
        <v>33</v>
      </c>
      <c r="F333" s="5">
        <f t="shared" si="23"/>
        <v>0</v>
      </c>
      <c r="G333" s="5">
        <f t="shared" si="20"/>
        <v>0</v>
      </c>
      <c r="H333" s="5">
        <f t="shared" si="21"/>
        <v>0</v>
      </c>
      <c r="I333" s="5">
        <f t="shared" si="22"/>
        <v>1</v>
      </c>
      <c r="J333" s="5">
        <v>250</v>
      </c>
      <c r="K333" s="5" t="s">
        <v>34</v>
      </c>
      <c r="L333" s="5">
        <v>35</v>
      </c>
      <c r="M333" t="str" cm="1">
        <f t="array" ref="M333">_xlfn.IFS(L333&lt;=14,"Short",L333&lt;=30,"Medium",L333&lt;=45,"Long",L333&lt;=60,"Very Long")</f>
        <v>Long</v>
      </c>
      <c r="N333" s="5" t="s">
        <v>97</v>
      </c>
      <c r="O333" s="6">
        <v>7</v>
      </c>
    </row>
    <row r="334" spans="1:15" x14ac:dyDescent="0.25">
      <c r="A334" s="1" t="s">
        <v>393</v>
      </c>
      <c r="B334" s="2">
        <v>43</v>
      </c>
      <c r="C334" t="str" cm="1">
        <f t="array" ref="C334">_xlfn.IFS(B334&lt;=30,"Young",B334&lt;=50,"Middle-aged",B334&gt;50,"Older")</f>
        <v>Middle-aged</v>
      </c>
      <c r="D334" s="2" t="s">
        <v>10</v>
      </c>
      <c r="E334" s="2" t="s">
        <v>33</v>
      </c>
      <c r="F334" s="2">
        <f t="shared" si="23"/>
        <v>0</v>
      </c>
      <c r="G334" s="2">
        <f t="shared" si="20"/>
        <v>0</v>
      </c>
      <c r="H334" s="2">
        <f t="shared" si="21"/>
        <v>0</v>
      </c>
      <c r="I334" s="2">
        <f t="shared" si="22"/>
        <v>1</v>
      </c>
      <c r="J334" s="2">
        <v>50</v>
      </c>
      <c r="K334" s="2" t="s">
        <v>47</v>
      </c>
      <c r="L334" s="2">
        <v>24</v>
      </c>
      <c r="M334" t="str" cm="1">
        <f t="array" ref="M334">_xlfn.IFS(L334&lt;=14,"Short",L334&lt;=30,"Medium",L334&lt;=45,"Long",L334&lt;=60,"Very Long")</f>
        <v>Medium</v>
      </c>
      <c r="N334" s="2" t="s">
        <v>13</v>
      </c>
      <c r="O334" s="3">
        <v>6</v>
      </c>
    </row>
    <row r="335" spans="1:15" x14ac:dyDescent="0.25">
      <c r="A335" s="4" t="s">
        <v>394</v>
      </c>
      <c r="B335" s="5">
        <v>20</v>
      </c>
      <c r="C335" t="str" cm="1">
        <f t="array" ref="C335">_xlfn.IFS(B335&lt;=30,"Young",B335&lt;=50,"Middle-aged",B335&gt;50,"Older")</f>
        <v>Young</v>
      </c>
      <c r="D335" s="5" t="s">
        <v>19</v>
      </c>
      <c r="E335" s="5" t="s">
        <v>15</v>
      </c>
      <c r="F335" s="5">
        <f t="shared" si="23"/>
        <v>1</v>
      </c>
      <c r="G335" s="5">
        <f t="shared" si="20"/>
        <v>0</v>
      </c>
      <c r="H335" s="5">
        <f t="shared" si="21"/>
        <v>0</v>
      </c>
      <c r="I335" s="5">
        <f t="shared" si="22"/>
        <v>0</v>
      </c>
      <c r="J335" s="5">
        <v>850</v>
      </c>
      <c r="K335" s="5" t="s">
        <v>44</v>
      </c>
      <c r="L335" s="5">
        <v>28</v>
      </c>
      <c r="M335" t="str" cm="1">
        <f t="array" ref="M335">_xlfn.IFS(L335&lt;=14,"Short",L335&lt;=30,"Medium",L335&lt;=45,"Long",L335&lt;=60,"Very Long")</f>
        <v>Medium</v>
      </c>
      <c r="N335" s="5" t="s">
        <v>95</v>
      </c>
      <c r="O335" s="6">
        <v>7.7</v>
      </c>
    </row>
    <row r="336" spans="1:15" x14ac:dyDescent="0.25">
      <c r="A336" s="1" t="s">
        <v>395</v>
      </c>
      <c r="B336" s="2">
        <v>36</v>
      </c>
      <c r="C336" t="str" cm="1">
        <f t="array" ref="C336">_xlfn.IFS(B336&lt;=30,"Young",B336&lt;=50,"Middle-aged",B336&gt;50,"Older")</f>
        <v>Middle-aged</v>
      </c>
      <c r="D336" s="2" t="s">
        <v>19</v>
      </c>
      <c r="E336" s="2" t="s">
        <v>24</v>
      </c>
      <c r="F336" s="2">
        <f t="shared" si="23"/>
        <v>0</v>
      </c>
      <c r="G336" s="2">
        <f t="shared" si="20"/>
        <v>0</v>
      </c>
      <c r="H336" s="2">
        <f t="shared" si="21"/>
        <v>1</v>
      </c>
      <c r="I336" s="2">
        <f t="shared" si="22"/>
        <v>0</v>
      </c>
      <c r="J336" s="2">
        <v>100</v>
      </c>
      <c r="K336" s="2" t="s">
        <v>59</v>
      </c>
      <c r="L336" s="2">
        <v>29</v>
      </c>
      <c r="M336" t="str" cm="1">
        <f t="array" ref="M336">_xlfn.IFS(L336&lt;=14,"Short",L336&lt;=30,"Medium",L336&lt;=45,"Long",L336&lt;=60,"Very Long")</f>
        <v>Medium</v>
      </c>
      <c r="N336" s="2" t="s">
        <v>150</v>
      </c>
      <c r="O336" s="3">
        <v>9.6999999999999993</v>
      </c>
    </row>
    <row r="337" spans="1:15" x14ac:dyDescent="0.25">
      <c r="A337" s="4" t="s">
        <v>396</v>
      </c>
      <c r="B337" s="5">
        <v>37</v>
      </c>
      <c r="C337" t="str" cm="1">
        <f t="array" ref="C337">_xlfn.IFS(B337&lt;=30,"Young",B337&lt;=50,"Middle-aged",B337&gt;50,"Older")</f>
        <v>Middle-aged</v>
      </c>
      <c r="D337" s="5" t="s">
        <v>10</v>
      </c>
      <c r="E337" s="5" t="s">
        <v>24</v>
      </c>
      <c r="F337" s="5">
        <f t="shared" si="23"/>
        <v>0</v>
      </c>
      <c r="G337" s="5">
        <f t="shared" si="20"/>
        <v>0</v>
      </c>
      <c r="H337" s="5">
        <f t="shared" si="21"/>
        <v>1</v>
      </c>
      <c r="I337" s="5">
        <f t="shared" si="22"/>
        <v>0</v>
      </c>
      <c r="J337" s="5">
        <v>250</v>
      </c>
      <c r="K337" s="5" t="s">
        <v>39</v>
      </c>
      <c r="L337" s="5">
        <v>40</v>
      </c>
      <c r="M337" t="str" cm="1">
        <f t="array" ref="M337">_xlfn.IFS(L337&lt;=14,"Short",L337&lt;=30,"Medium",L337&lt;=45,"Long",L337&lt;=60,"Very Long")</f>
        <v>Long</v>
      </c>
      <c r="N337" s="5" t="s">
        <v>136</v>
      </c>
      <c r="O337" s="6">
        <v>6.7</v>
      </c>
    </row>
    <row r="338" spans="1:15" x14ac:dyDescent="0.25">
      <c r="A338" s="1" t="s">
        <v>397</v>
      </c>
      <c r="B338" s="2">
        <v>49</v>
      </c>
      <c r="C338" t="str" cm="1">
        <f t="array" ref="C338">_xlfn.IFS(B338&lt;=30,"Young",B338&lt;=50,"Middle-aged",B338&gt;50,"Older")</f>
        <v>Middle-aged</v>
      </c>
      <c r="D338" s="2" t="s">
        <v>10</v>
      </c>
      <c r="E338" s="2" t="s">
        <v>33</v>
      </c>
      <c r="F338" s="2">
        <f t="shared" si="23"/>
        <v>0</v>
      </c>
      <c r="G338" s="2">
        <f t="shared" si="20"/>
        <v>0</v>
      </c>
      <c r="H338" s="2">
        <f t="shared" si="21"/>
        <v>0</v>
      </c>
      <c r="I338" s="2">
        <f t="shared" si="22"/>
        <v>1</v>
      </c>
      <c r="J338" s="2">
        <v>50</v>
      </c>
      <c r="K338" s="2" t="s">
        <v>49</v>
      </c>
      <c r="L338" s="2">
        <v>25</v>
      </c>
      <c r="M338" t="str" cm="1">
        <f t="array" ref="M338">_xlfn.IFS(L338&lt;=14,"Short",L338&lt;=30,"Medium",L338&lt;=45,"Long",L338&lt;=60,"Very Long")</f>
        <v>Medium</v>
      </c>
      <c r="N338" s="2" t="s">
        <v>13</v>
      </c>
      <c r="O338" s="3">
        <v>8.1</v>
      </c>
    </row>
    <row r="339" spans="1:15" x14ac:dyDescent="0.25">
      <c r="A339" s="4" t="s">
        <v>398</v>
      </c>
      <c r="B339" s="5">
        <v>24</v>
      </c>
      <c r="C339" t="str" cm="1">
        <f t="array" ref="C339">_xlfn.IFS(B339&lt;=30,"Young",B339&lt;=50,"Middle-aged",B339&gt;50,"Older")</f>
        <v>Young</v>
      </c>
      <c r="D339" s="5" t="s">
        <v>19</v>
      </c>
      <c r="E339" s="5" t="s">
        <v>15</v>
      </c>
      <c r="F339" s="5">
        <f t="shared" si="23"/>
        <v>1</v>
      </c>
      <c r="G339" s="5">
        <f t="shared" si="20"/>
        <v>0</v>
      </c>
      <c r="H339" s="5">
        <f t="shared" si="21"/>
        <v>0</v>
      </c>
      <c r="I339" s="5">
        <f t="shared" si="22"/>
        <v>0</v>
      </c>
      <c r="J339" s="5">
        <v>50</v>
      </c>
      <c r="K339" s="5" t="s">
        <v>44</v>
      </c>
      <c r="L339" s="5">
        <v>34</v>
      </c>
      <c r="M339" t="str" cm="1">
        <f t="array" ref="M339">_xlfn.IFS(L339&lt;=14,"Short",L339&lt;=30,"Medium",L339&lt;=45,"Long",L339&lt;=60,"Very Long")</f>
        <v>Long</v>
      </c>
      <c r="N339" s="5" t="s">
        <v>101</v>
      </c>
      <c r="O339" s="6">
        <v>5.0999999999999996</v>
      </c>
    </row>
    <row r="340" spans="1:15" x14ac:dyDescent="0.25">
      <c r="A340" s="1" t="s">
        <v>399</v>
      </c>
      <c r="B340" s="2">
        <v>69</v>
      </c>
      <c r="C340" t="str" cm="1">
        <f t="array" ref="C340">_xlfn.IFS(B340&lt;=30,"Young",B340&lt;=50,"Middle-aged",B340&gt;50,"Older")</f>
        <v>Older</v>
      </c>
      <c r="D340" s="2" t="s">
        <v>10</v>
      </c>
      <c r="E340" s="2" t="s">
        <v>24</v>
      </c>
      <c r="F340" s="2">
        <f t="shared" si="23"/>
        <v>0</v>
      </c>
      <c r="G340" s="2">
        <f t="shared" si="20"/>
        <v>0</v>
      </c>
      <c r="H340" s="2">
        <f t="shared" si="21"/>
        <v>1</v>
      </c>
      <c r="I340" s="2">
        <f t="shared" si="22"/>
        <v>0</v>
      </c>
      <c r="J340" s="2">
        <v>850</v>
      </c>
      <c r="K340" s="2" t="s">
        <v>25</v>
      </c>
      <c r="L340" s="2">
        <v>28</v>
      </c>
      <c r="M340" t="str" cm="1">
        <f t="array" ref="M340">_xlfn.IFS(L340&lt;=14,"Short",L340&lt;=30,"Medium",L340&lt;=45,"Long",L340&lt;=60,"Very Long")</f>
        <v>Medium</v>
      </c>
      <c r="N340" s="2" t="s">
        <v>26</v>
      </c>
      <c r="O340" s="3">
        <v>5.6</v>
      </c>
    </row>
    <row r="341" spans="1:15" x14ac:dyDescent="0.25">
      <c r="A341" s="4" t="s">
        <v>400</v>
      </c>
      <c r="B341" s="5">
        <v>58</v>
      </c>
      <c r="C341" t="str" cm="1">
        <f t="array" ref="C341">_xlfn.IFS(B341&lt;=30,"Young",B341&lt;=50,"Middle-aged",B341&gt;50,"Older")</f>
        <v>Older</v>
      </c>
      <c r="D341" s="5" t="s">
        <v>19</v>
      </c>
      <c r="E341" s="5" t="s">
        <v>15</v>
      </c>
      <c r="F341" s="5">
        <f t="shared" si="23"/>
        <v>1</v>
      </c>
      <c r="G341" s="5">
        <f t="shared" si="20"/>
        <v>0</v>
      </c>
      <c r="H341" s="5">
        <f t="shared" si="21"/>
        <v>0</v>
      </c>
      <c r="I341" s="5">
        <f t="shared" si="22"/>
        <v>0</v>
      </c>
      <c r="J341" s="5">
        <v>100</v>
      </c>
      <c r="K341" s="5" t="s">
        <v>63</v>
      </c>
      <c r="L341" s="5">
        <v>48</v>
      </c>
      <c r="M341" t="str" cm="1">
        <f t="array" ref="M341">_xlfn.IFS(L341&lt;=14,"Short",L341&lt;=30,"Medium",L341&lt;=45,"Long",L341&lt;=60,"Very Long")</f>
        <v>Very Long</v>
      </c>
      <c r="N341" s="5" t="s">
        <v>110</v>
      </c>
      <c r="O341" s="6">
        <v>7.7</v>
      </c>
    </row>
    <row r="342" spans="1:15" x14ac:dyDescent="0.25">
      <c r="A342" s="1" t="s">
        <v>401</v>
      </c>
      <c r="B342" s="2">
        <v>50</v>
      </c>
      <c r="C342" t="str" cm="1">
        <f t="array" ref="C342">_xlfn.IFS(B342&lt;=30,"Young",B342&lt;=50,"Middle-aged",B342&gt;50,"Older")</f>
        <v>Middle-aged</v>
      </c>
      <c r="D342" s="2" t="s">
        <v>19</v>
      </c>
      <c r="E342" s="2" t="s">
        <v>15</v>
      </c>
      <c r="F342" s="2">
        <f t="shared" si="23"/>
        <v>1</v>
      </c>
      <c r="G342" s="2">
        <f t="shared" si="20"/>
        <v>0</v>
      </c>
      <c r="H342" s="2">
        <f t="shared" si="21"/>
        <v>0</v>
      </c>
      <c r="I342" s="2">
        <f t="shared" si="22"/>
        <v>0</v>
      </c>
      <c r="J342" s="2">
        <v>100</v>
      </c>
      <c r="K342" s="2" t="s">
        <v>63</v>
      </c>
      <c r="L342" s="2">
        <v>46</v>
      </c>
      <c r="M342" t="str" cm="1">
        <f t="array" ref="M342">_xlfn.IFS(L342&lt;=14,"Short",L342&lt;=30,"Medium",L342&lt;=45,"Long",L342&lt;=60,"Very Long")</f>
        <v>Very Long</v>
      </c>
      <c r="N342" s="2" t="s">
        <v>41</v>
      </c>
      <c r="O342" s="3">
        <v>9.1999999999999993</v>
      </c>
    </row>
    <row r="343" spans="1:15" x14ac:dyDescent="0.25">
      <c r="A343" s="4" t="s">
        <v>402</v>
      </c>
      <c r="B343" s="5">
        <v>57</v>
      </c>
      <c r="C343" t="str" cm="1">
        <f t="array" ref="C343">_xlfn.IFS(B343&lt;=30,"Young",B343&lt;=50,"Middle-aged",B343&gt;50,"Older")</f>
        <v>Older</v>
      </c>
      <c r="D343" s="5" t="s">
        <v>19</v>
      </c>
      <c r="E343" s="5" t="s">
        <v>15</v>
      </c>
      <c r="F343" s="5">
        <f t="shared" si="23"/>
        <v>1</v>
      </c>
      <c r="G343" s="5">
        <f t="shared" si="20"/>
        <v>0</v>
      </c>
      <c r="H343" s="5">
        <f t="shared" si="21"/>
        <v>0</v>
      </c>
      <c r="I343" s="5">
        <f t="shared" si="22"/>
        <v>0</v>
      </c>
      <c r="J343" s="5">
        <v>100</v>
      </c>
      <c r="K343" s="5" t="s">
        <v>44</v>
      </c>
      <c r="L343" s="5">
        <v>34</v>
      </c>
      <c r="M343" t="str" cm="1">
        <f t="array" ref="M343">_xlfn.IFS(L343&lt;=14,"Short",L343&lt;=30,"Medium",L343&lt;=45,"Long",L343&lt;=60,"Very Long")</f>
        <v>Long</v>
      </c>
      <c r="N343" s="5" t="s">
        <v>95</v>
      </c>
      <c r="O343" s="6">
        <v>7.5</v>
      </c>
    </row>
    <row r="344" spans="1:15" x14ac:dyDescent="0.25">
      <c r="A344" s="1" t="s">
        <v>403</v>
      </c>
      <c r="B344" s="2">
        <v>56</v>
      </c>
      <c r="C344" t="str" cm="1">
        <f t="array" ref="C344">_xlfn.IFS(B344&lt;=30,"Young",B344&lt;=50,"Middle-aged",B344&gt;50,"Older")</f>
        <v>Older</v>
      </c>
      <c r="D344" s="2" t="s">
        <v>19</v>
      </c>
      <c r="E344" s="2" t="s">
        <v>11</v>
      </c>
      <c r="F344" s="2">
        <f t="shared" si="23"/>
        <v>0</v>
      </c>
      <c r="G344" s="2">
        <f t="shared" si="20"/>
        <v>0</v>
      </c>
      <c r="H344" s="2">
        <f t="shared" si="21"/>
        <v>0</v>
      </c>
      <c r="I344" s="2">
        <f t="shared" si="22"/>
        <v>0</v>
      </c>
      <c r="J344" s="2">
        <v>500</v>
      </c>
      <c r="K344" s="2" t="s">
        <v>12</v>
      </c>
      <c r="L344" s="2">
        <v>26</v>
      </c>
      <c r="M344" t="str" cm="1">
        <f t="array" ref="M344">_xlfn.IFS(L344&lt;=14,"Short",L344&lt;=30,"Medium",L344&lt;=45,"Long",L344&lt;=60,"Very Long")</f>
        <v>Medium</v>
      </c>
      <c r="N344" s="2" t="s">
        <v>30</v>
      </c>
      <c r="O344" s="3">
        <v>6.5</v>
      </c>
    </row>
    <row r="345" spans="1:15" x14ac:dyDescent="0.25">
      <c r="A345" s="4" t="s">
        <v>404</v>
      </c>
      <c r="B345" s="5">
        <v>35</v>
      </c>
      <c r="C345" t="str" cm="1">
        <f t="array" ref="C345">_xlfn.IFS(B345&lt;=30,"Young",B345&lt;=50,"Middle-aged",B345&gt;50,"Older")</f>
        <v>Middle-aged</v>
      </c>
      <c r="D345" s="5" t="s">
        <v>10</v>
      </c>
      <c r="E345" s="5" t="s">
        <v>15</v>
      </c>
      <c r="F345" s="5">
        <f t="shared" si="23"/>
        <v>1</v>
      </c>
      <c r="G345" s="5">
        <f t="shared" si="20"/>
        <v>0</v>
      </c>
      <c r="H345" s="5">
        <f t="shared" si="21"/>
        <v>0</v>
      </c>
      <c r="I345" s="5">
        <f t="shared" si="22"/>
        <v>0</v>
      </c>
      <c r="J345" s="5">
        <v>250</v>
      </c>
      <c r="K345" s="5" t="s">
        <v>63</v>
      </c>
      <c r="L345" s="5">
        <v>32</v>
      </c>
      <c r="M345" t="str" cm="1">
        <f t="array" ref="M345">_xlfn.IFS(L345&lt;=14,"Short",L345&lt;=30,"Medium",L345&lt;=45,"Long",L345&lt;=60,"Very Long")</f>
        <v>Long</v>
      </c>
      <c r="N345" s="5" t="s">
        <v>41</v>
      </c>
      <c r="O345" s="6">
        <v>7</v>
      </c>
    </row>
    <row r="346" spans="1:15" x14ac:dyDescent="0.25">
      <c r="A346" s="1" t="s">
        <v>405</v>
      </c>
      <c r="B346" s="2">
        <v>57</v>
      </c>
      <c r="C346" t="str" cm="1">
        <f t="array" ref="C346">_xlfn.IFS(B346&lt;=30,"Young",B346&lt;=50,"Middle-aged",B346&gt;50,"Older")</f>
        <v>Older</v>
      </c>
      <c r="D346" s="2" t="s">
        <v>19</v>
      </c>
      <c r="E346" s="2" t="s">
        <v>11</v>
      </c>
      <c r="F346" s="2">
        <f t="shared" si="23"/>
        <v>0</v>
      </c>
      <c r="G346" s="2">
        <f t="shared" si="20"/>
        <v>0</v>
      </c>
      <c r="H346" s="2">
        <f t="shared" si="21"/>
        <v>0</v>
      </c>
      <c r="I346" s="2">
        <f t="shared" si="22"/>
        <v>0</v>
      </c>
      <c r="J346" s="2">
        <v>100</v>
      </c>
      <c r="K346" s="2" t="s">
        <v>84</v>
      </c>
      <c r="L346" s="2">
        <v>11</v>
      </c>
      <c r="M346" t="str" cm="1">
        <f t="array" ref="M346">_xlfn.IFS(L346&lt;=14,"Short",L346&lt;=30,"Medium",L346&lt;=45,"Long",L346&lt;=60,"Very Long")</f>
        <v>Short</v>
      </c>
      <c r="N346" s="2" t="s">
        <v>97</v>
      </c>
      <c r="O346" s="3">
        <v>5.0999999999999996</v>
      </c>
    </row>
    <row r="347" spans="1:15" x14ac:dyDescent="0.25">
      <c r="A347" s="4" t="s">
        <v>406</v>
      </c>
      <c r="B347" s="5">
        <v>18</v>
      </c>
      <c r="C347" t="str" cm="1">
        <f t="array" ref="C347">_xlfn.IFS(B347&lt;=30,"Young",B347&lt;=50,"Middle-aged",B347&gt;50,"Older")</f>
        <v>Young</v>
      </c>
      <c r="D347" s="5" t="s">
        <v>10</v>
      </c>
      <c r="E347" s="5" t="s">
        <v>33</v>
      </c>
      <c r="F347" s="5">
        <f t="shared" si="23"/>
        <v>0</v>
      </c>
      <c r="G347" s="5">
        <f t="shared" si="20"/>
        <v>0</v>
      </c>
      <c r="H347" s="5">
        <f t="shared" si="21"/>
        <v>0</v>
      </c>
      <c r="I347" s="5">
        <f t="shared" si="22"/>
        <v>1</v>
      </c>
      <c r="J347" s="5">
        <v>250</v>
      </c>
      <c r="K347" s="5" t="s">
        <v>34</v>
      </c>
      <c r="L347" s="5">
        <v>39</v>
      </c>
      <c r="M347" t="str" cm="1">
        <f t="array" ref="M347">_xlfn.IFS(L347&lt;=14,"Short",L347&lt;=30,"Medium",L347&lt;=45,"Long",L347&lt;=60,"Very Long")</f>
        <v>Long</v>
      </c>
      <c r="N347" s="5" t="s">
        <v>95</v>
      </c>
      <c r="O347" s="6">
        <v>7.9</v>
      </c>
    </row>
    <row r="348" spans="1:15" x14ac:dyDescent="0.25">
      <c r="A348" s="1" t="s">
        <v>407</v>
      </c>
      <c r="B348" s="2">
        <v>28</v>
      </c>
      <c r="C348" t="str" cm="1">
        <f t="array" ref="C348">_xlfn.IFS(B348&lt;=30,"Young",B348&lt;=50,"Middle-aged",B348&gt;50,"Older")</f>
        <v>Young</v>
      </c>
      <c r="D348" s="2" t="s">
        <v>19</v>
      </c>
      <c r="E348" s="2" t="s">
        <v>24</v>
      </c>
      <c r="F348" s="2">
        <f t="shared" si="23"/>
        <v>0</v>
      </c>
      <c r="G348" s="2">
        <f t="shared" si="20"/>
        <v>0</v>
      </c>
      <c r="H348" s="2">
        <f t="shared" si="21"/>
        <v>1</v>
      </c>
      <c r="I348" s="2">
        <f t="shared" si="22"/>
        <v>0</v>
      </c>
      <c r="J348" s="2">
        <v>50</v>
      </c>
      <c r="K348" s="2" t="s">
        <v>25</v>
      </c>
      <c r="L348" s="2">
        <v>59</v>
      </c>
      <c r="M348" t="str" cm="1">
        <f t="array" ref="M348">_xlfn.IFS(L348&lt;=14,"Short",L348&lt;=30,"Medium",L348&lt;=45,"Long",L348&lt;=60,"Very Long")</f>
        <v>Very Long</v>
      </c>
      <c r="N348" s="2" t="s">
        <v>70</v>
      </c>
      <c r="O348" s="3">
        <v>8.3000000000000007</v>
      </c>
    </row>
    <row r="349" spans="1:15" x14ac:dyDescent="0.25">
      <c r="A349" s="4" t="s">
        <v>408</v>
      </c>
      <c r="B349" s="5">
        <v>45</v>
      </c>
      <c r="C349" t="str" cm="1">
        <f t="array" ref="C349">_xlfn.IFS(B349&lt;=30,"Young",B349&lt;=50,"Middle-aged",B349&gt;50,"Older")</f>
        <v>Middle-aged</v>
      </c>
      <c r="D349" s="5" t="s">
        <v>10</v>
      </c>
      <c r="E349" s="5" t="s">
        <v>24</v>
      </c>
      <c r="F349" s="5">
        <f t="shared" si="23"/>
        <v>0</v>
      </c>
      <c r="G349" s="5">
        <f t="shared" si="20"/>
        <v>0</v>
      </c>
      <c r="H349" s="5">
        <f t="shared" si="21"/>
        <v>1</v>
      </c>
      <c r="I349" s="5">
        <f t="shared" si="22"/>
        <v>0</v>
      </c>
      <c r="J349" s="5">
        <v>250</v>
      </c>
      <c r="K349" s="5" t="s">
        <v>59</v>
      </c>
      <c r="L349" s="5">
        <v>32</v>
      </c>
      <c r="M349" t="str" cm="1">
        <f t="array" ref="M349">_xlfn.IFS(L349&lt;=14,"Short",L349&lt;=30,"Medium",L349&lt;=45,"Long",L349&lt;=60,"Very Long")</f>
        <v>Long</v>
      </c>
      <c r="N349" s="5" t="s">
        <v>150</v>
      </c>
      <c r="O349" s="6">
        <v>6.3</v>
      </c>
    </row>
    <row r="350" spans="1:15" x14ac:dyDescent="0.25">
      <c r="A350" s="1" t="s">
        <v>409</v>
      </c>
      <c r="B350" s="2">
        <v>74</v>
      </c>
      <c r="C350" t="str" cm="1">
        <f t="array" ref="C350">_xlfn.IFS(B350&lt;=30,"Young",B350&lt;=50,"Middle-aged",B350&gt;50,"Older")</f>
        <v>Older</v>
      </c>
      <c r="D350" s="2" t="s">
        <v>19</v>
      </c>
      <c r="E350" s="2" t="s">
        <v>24</v>
      </c>
      <c r="F350" s="2">
        <f t="shared" si="23"/>
        <v>0</v>
      </c>
      <c r="G350" s="2">
        <f t="shared" si="20"/>
        <v>0</v>
      </c>
      <c r="H350" s="2">
        <f t="shared" si="21"/>
        <v>1</v>
      </c>
      <c r="I350" s="2">
        <f t="shared" si="22"/>
        <v>0</v>
      </c>
      <c r="J350" s="2">
        <v>250</v>
      </c>
      <c r="K350" s="2" t="s">
        <v>39</v>
      </c>
      <c r="L350" s="2">
        <v>18</v>
      </c>
      <c r="M350" t="str" cm="1">
        <f t="array" ref="M350">_xlfn.IFS(L350&lt;=14,"Short",L350&lt;=30,"Medium",L350&lt;=45,"Long",L350&lt;=60,"Very Long")</f>
        <v>Medium</v>
      </c>
      <c r="N350" s="2" t="s">
        <v>13</v>
      </c>
      <c r="O350" s="3">
        <v>6.3</v>
      </c>
    </row>
    <row r="351" spans="1:15" x14ac:dyDescent="0.25">
      <c r="A351" s="4" t="s">
        <v>410</v>
      </c>
      <c r="B351" s="5">
        <v>42</v>
      </c>
      <c r="C351" t="str" cm="1">
        <f t="array" ref="C351">_xlfn.IFS(B351&lt;=30,"Young",B351&lt;=50,"Middle-aged",B351&gt;50,"Older")</f>
        <v>Middle-aged</v>
      </c>
      <c r="D351" s="5" t="s">
        <v>10</v>
      </c>
      <c r="E351" s="5" t="s">
        <v>24</v>
      </c>
      <c r="F351" s="5">
        <f t="shared" si="23"/>
        <v>0</v>
      </c>
      <c r="G351" s="5">
        <f t="shared" si="20"/>
        <v>0</v>
      </c>
      <c r="H351" s="5">
        <f t="shared" si="21"/>
        <v>1</v>
      </c>
      <c r="I351" s="5">
        <f t="shared" si="22"/>
        <v>0</v>
      </c>
      <c r="J351" s="5">
        <v>850</v>
      </c>
      <c r="K351" s="5" t="s">
        <v>59</v>
      </c>
      <c r="L351" s="5">
        <v>14</v>
      </c>
      <c r="M351" t="str" cm="1">
        <f t="array" ref="M351">_xlfn.IFS(L351&lt;=14,"Short",L351&lt;=30,"Medium",L351&lt;=45,"Long",L351&lt;=60,"Very Long")</f>
        <v>Short</v>
      </c>
      <c r="N351" s="5" t="s">
        <v>150</v>
      </c>
      <c r="O351" s="6">
        <v>7.4</v>
      </c>
    </row>
    <row r="352" spans="1:15" x14ac:dyDescent="0.25">
      <c r="A352" s="1" t="s">
        <v>411</v>
      </c>
      <c r="B352" s="2">
        <v>67</v>
      </c>
      <c r="C352" t="str" cm="1">
        <f t="array" ref="C352">_xlfn.IFS(B352&lt;=30,"Young",B352&lt;=50,"Middle-aged",B352&gt;50,"Older")</f>
        <v>Older</v>
      </c>
      <c r="D352" s="2" t="s">
        <v>10</v>
      </c>
      <c r="E352" s="2" t="s">
        <v>24</v>
      </c>
      <c r="F352" s="2">
        <f t="shared" si="23"/>
        <v>0</v>
      </c>
      <c r="G352" s="2">
        <f t="shared" si="20"/>
        <v>0</v>
      </c>
      <c r="H352" s="2">
        <f t="shared" si="21"/>
        <v>1</v>
      </c>
      <c r="I352" s="2">
        <f t="shared" si="22"/>
        <v>0</v>
      </c>
      <c r="J352" s="2">
        <v>500</v>
      </c>
      <c r="K352" s="2" t="s">
        <v>59</v>
      </c>
      <c r="L352" s="2">
        <v>20</v>
      </c>
      <c r="M352" t="str" cm="1">
        <f t="array" ref="M352">_xlfn.IFS(L352&lt;=14,"Short",L352&lt;=30,"Medium",L352&lt;=45,"Long",L352&lt;=60,"Very Long")</f>
        <v>Medium</v>
      </c>
      <c r="N352" s="2" t="s">
        <v>60</v>
      </c>
      <c r="O352" s="3">
        <v>6.3</v>
      </c>
    </row>
    <row r="353" spans="1:15" x14ac:dyDescent="0.25">
      <c r="A353" s="4" t="s">
        <v>412</v>
      </c>
      <c r="B353" s="5">
        <v>40</v>
      </c>
      <c r="C353" t="str" cm="1">
        <f t="array" ref="C353">_xlfn.IFS(B353&lt;=30,"Young",B353&lt;=50,"Middle-aged",B353&gt;50,"Older")</f>
        <v>Middle-aged</v>
      </c>
      <c r="D353" s="5" t="s">
        <v>19</v>
      </c>
      <c r="E353" s="5" t="s">
        <v>24</v>
      </c>
      <c r="F353" s="5">
        <f t="shared" si="23"/>
        <v>0</v>
      </c>
      <c r="G353" s="5">
        <f t="shared" si="20"/>
        <v>0</v>
      </c>
      <c r="H353" s="5">
        <f t="shared" si="21"/>
        <v>1</v>
      </c>
      <c r="I353" s="5">
        <f t="shared" si="22"/>
        <v>0</v>
      </c>
      <c r="J353" s="5">
        <v>850</v>
      </c>
      <c r="K353" s="5" t="s">
        <v>25</v>
      </c>
      <c r="L353" s="5">
        <v>20</v>
      </c>
      <c r="M353" t="str" cm="1">
        <f t="array" ref="M353">_xlfn.IFS(L353&lt;=14,"Short",L353&lt;=30,"Medium",L353&lt;=45,"Long",L353&lt;=60,"Very Long")</f>
        <v>Medium</v>
      </c>
      <c r="N353" s="5" t="s">
        <v>70</v>
      </c>
      <c r="O353" s="6">
        <v>6.9</v>
      </c>
    </row>
    <row r="354" spans="1:15" x14ac:dyDescent="0.25">
      <c r="A354" s="1" t="s">
        <v>413</v>
      </c>
      <c r="B354" s="2">
        <v>48</v>
      </c>
      <c r="C354" t="str" cm="1">
        <f t="array" ref="C354">_xlfn.IFS(B354&lt;=30,"Young",B354&lt;=50,"Middle-aged",B354&gt;50,"Older")</f>
        <v>Middle-aged</v>
      </c>
      <c r="D354" s="2" t="s">
        <v>19</v>
      </c>
      <c r="E354" s="2" t="s">
        <v>24</v>
      </c>
      <c r="F354" s="2">
        <f t="shared" si="23"/>
        <v>0</v>
      </c>
      <c r="G354" s="2">
        <f t="shared" si="20"/>
        <v>0</v>
      </c>
      <c r="H354" s="2">
        <f t="shared" si="21"/>
        <v>1</v>
      </c>
      <c r="I354" s="2">
        <f t="shared" si="22"/>
        <v>0</v>
      </c>
      <c r="J354" s="2">
        <v>500</v>
      </c>
      <c r="K354" s="2" t="s">
        <v>25</v>
      </c>
      <c r="L354" s="2">
        <v>58</v>
      </c>
      <c r="M354" t="str" cm="1">
        <f t="array" ref="M354">_xlfn.IFS(L354&lt;=14,"Short",L354&lt;=30,"Medium",L354&lt;=45,"Long",L354&lt;=60,"Very Long")</f>
        <v>Very Long</v>
      </c>
      <c r="N354" s="2" t="s">
        <v>70</v>
      </c>
      <c r="O354" s="3">
        <v>10</v>
      </c>
    </row>
    <row r="355" spans="1:15" x14ac:dyDescent="0.25">
      <c r="A355" s="4" t="s">
        <v>414</v>
      </c>
      <c r="B355" s="5">
        <v>47</v>
      </c>
      <c r="C355" t="str" cm="1">
        <f t="array" ref="C355">_xlfn.IFS(B355&lt;=30,"Young",B355&lt;=50,"Middle-aged",B355&gt;50,"Older")</f>
        <v>Middle-aged</v>
      </c>
      <c r="D355" s="5" t="s">
        <v>19</v>
      </c>
      <c r="E355" s="5" t="s">
        <v>33</v>
      </c>
      <c r="F355" s="5">
        <f t="shared" si="23"/>
        <v>0</v>
      </c>
      <c r="G355" s="5">
        <f t="shared" si="20"/>
        <v>0</v>
      </c>
      <c r="H355" s="5">
        <f t="shared" si="21"/>
        <v>0</v>
      </c>
      <c r="I355" s="5">
        <f t="shared" si="22"/>
        <v>1</v>
      </c>
      <c r="J355" s="5">
        <v>850</v>
      </c>
      <c r="K355" s="5" t="s">
        <v>49</v>
      </c>
      <c r="L355" s="5">
        <v>35</v>
      </c>
      <c r="M355" t="str" cm="1">
        <f t="array" ref="M355">_xlfn.IFS(L355&lt;=14,"Short",L355&lt;=30,"Medium",L355&lt;=45,"Long",L355&lt;=60,"Very Long")</f>
        <v>Long</v>
      </c>
      <c r="N355" s="5" t="s">
        <v>30</v>
      </c>
      <c r="O355" s="6">
        <v>6.6</v>
      </c>
    </row>
    <row r="356" spans="1:15" x14ac:dyDescent="0.25">
      <c r="A356" s="1" t="s">
        <v>415</v>
      </c>
      <c r="B356" s="2">
        <v>59</v>
      </c>
      <c r="C356" t="str" cm="1">
        <f t="array" ref="C356">_xlfn.IFS(B356&lt;=30,"Young",B356&lt;=50,"Middle-aged",B356&gt;50,"Older")</f>
        <v>Older</v>
      </c>
      <c r="D356" s="2" t="s">
        <v>19</v>
      </c>
      <c r="E356" s="2" t="s">
        <v>15</v>
      </c>
      <c r="F356" s="2">
        <f t="shared" si="23"/>
        <v>1</v>
      </c>
      <c r="G356" s="2">
        <f t="shared" si="20"/>
        <v>0</v>
      </c>
      <c r="H356" s="2">
        <f t="shared" si="21"/>
        <v>0</v>
      </c>
      <c r="I356" s="2">
        <f t="shared" si="22"/>
        <v>0</v>
      </c>
      <c r="J356" s="2">
        <v>500</v>
      </c>
      <c r="K356" s="2" t="s">
        <v>16</v>
      </c>
      <c r="L356" s="2">
        <v>46</v>
      </c>
      <c r="M356" t="str" cm="1">
        <f t="array" ref="M356">_xlfn.IFS(L356&lt;=14,"Short",L356&lt;=30,"Medium",L356&lt;=45,"Long",L356&lt;=60,"Very Long")</f>
        <v>Very Long</v>
      </c>
      <c r="N356" s="2" t="s">
        <v>308</v>
      </c>
      <c r="O356" s="3">
        <v>6.5</v>
      </c>
    </row>
    <row r="357" spans="1:15" x14ac:dyDescent="0.25">
      <c r="A357" s="4" t="s">
        <v>416</v>
      </c>
      <c r="B357" s="5">
        <v>52</v>
      </c>
      <c r="C357" t="str" cm="1">
        <f t="array" ref="C357">_xlfn.IFS(B357&lt;=30,"Young",B357&lt;=50,"Middle-aged",B357&gt;50,"Older")</f>
        <v>Older</v>
      </c>
      <c r="D357" s="5" t="s">
        <v>10</v>
      </c>
      <c r="E357" s="5" t="s">
        <v>20</v>
      </c>
      <c r="F357" s="5">
        <f t="shared" si="23"/>
        <v>0</v>
      </c>
      <c r="G357" s="5">
        <f t="shared" si="20"/>
        <v>1</v>
      </c>
      <c r="H357" s="5">
        <f t="shared" si="21"/>
        <v>0</v>
      </c>
      <c r="I357" s="5">
        <f t="shared" si="22"/>
        <v>0</v>
      </c>
      <c r="J357" s="5">
        <v>100</v>
      </c>
      <c r="K357" s="5" t="s">
        <v>21</v>
      </c>
      <c r="L357" s="5">
        <v>29</v>
      </c>
      <c r="M357" t="str" cm="1">
        <f t="array" ref="M357">_xlfn.IFS(L357&lt;=14,"Short",L357&lt;=30,"Medium",L357&lt;=45,"Long",L357&lt;=60,"Very Long")</f>
        <v>Medium</v>
      </c>
      <c r="N357" s="5" t="s">
        <v>41</v>
      </c>
      <c r="O357" s="6">
        <v>6</v>
      </c>
    </row>
    <row r="358" spans="1:15" x14ac:dyDescent="0.25">
      <c r="A358" s="1" t="s">
        <v>417</v>
      </c>
      <c r="B358" s="2">
        <v>24</v>
      </c>
      <c r="C358" t="str" cm="1">
        <f t="array" ref="C358">_xlfn.IFS(B358&lt;=30,"Young",B358&lt;=50,"Middle-aged",B358&gt;50,"Older")</f>
        <v>Young</v>
      </c>
      <c r="D358" s="2" t="s">
        <v>19</v>
      </c>
      <c r="E358" s="2" t="s">
        <v>11</v>
      </c>
      <c r="F358" s="2">
        <f t="shared" si="23"/>
        <v>0</v>
      </c>
      <c r="G358" s="2">
        <f t="shared" si="20"/>
        <v>0</v>
      </c>
      <c r="H358" s="2">
        <f t="shared" si="21"/>
        <v>0</v>
      </c>
      <c r="I358" s="2">
        <f t="shared" si="22"/>
        <v>0</v>
      </c>
      <c r="J358" s="2">
        <v>850</v>
      </c>
      <c r="K358" s="2" t="s">
        <v>84</v>
      </c>
      <c r="L358" s="2">
        <v>17</v>
      </c>
      <c r="M358" t="str" cm="1">
        <f t="array" ref="M358">_xlfn.IFS(L358&lt;=14,"Short",L358&lt;=30,"Medium",L358&lt;=45,"Long",L358&lt;=60,"Very Long")</f>
        <v>Medium</v>
      </c>
      <c r="N358" s="2" t="s">
        <v>93</v>
      </c>
      <c r="O358" s="3">
        <v>8.1</v>
      </c>
    </row>
    <row r="359" spans="1:15" x14ac:dyDescent="0.25">
      <c r="A359" s="4" t="s">
        <v>418</v>
      </c>
      <c r="B359" s="5">
        <v>77</v>
      </c>
      <c r="C359" t="str" cm="1">
        <f t="array" ref="C359">_xlfn.IFS(B359&lt;=30,"Young",B359&lt;=50,"Middle-aged",B359&gt;50,"Older")</f>
        <v>Older</v>
      </c>
      <c r="D359" s="5" t="s">
        <v>10</v>
      </c>
      <c r="E359" s="5" t="s">
        <v>20</v>
      </c>
      <c r="F359" s="5">
        <f t="shared" si="23"/>
        <v>0</v>
      </c>
      <c r="G359" s="5">
        <f t="shared" si="20"/>
        <v>1</v>
      </c>
      <c r="H359" s="5">
        <f t="shared" si="21"/>
        <v>0</v>
      </c>
      <c r="I359" s="5">
        <f t="shared" si="22"/>
        <v>0</v>
      </c>
      <c r="J359" s="5">
        <v>250</v>
      </c>
      <c r="K359" s="5" t="s">
        <v>37</v>
      </c>
      <c r="L359" s="5">
        <v>10</v>
      </c>
      <c r="M359" t="str" cm="1">
        <f t="array" ref="M359">_xlfn.IFS(L359&lt;=14,"Short",L359&lt;=30,"Medium",L359&lt;=45,"Long",L359&lt;=60,"Very Long")</f>
        <v>Short</v>
      </c>
      <c r="N359" s="5" t="s">
        <v>88</v>
      </c>
      <c r="O359" s="6">
        <v>6.7</v>
      </c>
    </row>
    <row r="360" spans="1:15" x14ac:dyDescent="0.25">
      <c r="A360" s="1" t="s">
        <v>419</v>
      </c>
      <c r="B360" s="2">
        <v>33</v>
      </c>
      <c r="C360" t="str" cm="1">
        <f t="array" ref="C360">_xlfn.IFS(B360&lt;=30,"Young",B360&lt;=50,"Middle-aged",B360&gt;50,"Older")</f>
        <v>Middle-aged</v>
      </c>
      <c r="D360" s="2" t="s">
        <v>10</v>
      </c>
      <c r="E360" s="2" t="s">
        <v>20</v>
      </c>
      <c r="F360" s="2">
        <f t="shared" si="23"/>
        <v>0</v>
      </c>
      <c r="G360" s="2">
        <f t="shared" si="20"/>
        <v>1</v>
      </c>
      <c r="H360" s="2">
        <f t="shared" si="21"/>
        <v>0</v>
      </c>
      <c r="I360" s="2">
        <f t="shared" si="22"/>
        <v>0</v>
      </c>
      <c r="J360" s="2">
        <v>50</v>
      </c>
      <c r="K360" s="2" t="s">
        <v>55</v>
      </c>
      <c r="L360" s="2">
        <v>48</v>
      </c>
      <c r="M360" t="str" cm="1">
        <f t="array" ref="M360">_xlfn.IFS(L360&lt;=14,"Short",L360&lt;=30,"Medium",L360&lt;=45,"Long",L360&lt;=60,"Very Long")</f>
        <v>Very Long</v>
      </c>
      <c r="N360" s="2" t="s">
        <v>78</v>
      </c>
      <c r="O360" s="3">
        <v>6</v>
      </c>
    </row>
    <row r="361" spans="1:15" x14ac:dyDescent="0.25">
      <c r="A361" s="4" t="s">
        <v>420</v>
      </c>
      <c r="B361" s="5">
        <v>43</v>
      </c>
      <c r="C361" t="str" cm="1">
        <f t="array" ref="C361">_xlfn.IFS(B361&lt;=30,"Young",B361&lt;=50,"Middle-aged",B361&gt;50,"Older")</f>
        <v>Middle-aged</v>
      </c>
      <c r="D361" s="5" t="s">
        <v>19</v>
      </c>
      <c r="E361" s="5" t="s">
        <v>15</v>
      </c>
      <c r="F361" s="5">
        <f t="shared" si="23"/>
        <v>1</v>
      </c>
      <c r="G361" s="5">
        <f t="shared" si="20"/>
        <v>0</v>
      </c>
      <c r="H361" s="5">
        <f t="shared" si="21"/>
        <v>0</v>
      </c>
      <c r="I361" s="5">
        <f t="shared" si="22"/>
        <v>0</v>
      </c>
      <c r="J361" s="5">
        <v>250</v>
      </c>
      <c r="K361" s="5" t="s">
        <v>16</v>
      </c>
      <c r="L361" s="5">
        <v>13</v>
      </c>
      <c r="M361" t="str" cm="1">
        <f t="array" ref="M361">_xlfn.IFS(L361&lt;=14,"Short",L361&lt;=30,"Medium",L361&lt;=45,"Long",L361&lt;=60,"Very Long")</f>
        <v>Short</v>
      </c>
      <c r="N361" s="5" t="s">
        <v>30</v>
      </c>
      <c r="O361" s="6">
        <v>9</v>
      </c>
    </row>
    <row r="362" spans="1:15" x14ac:dyDescent="0.25">
      <c r="A362" s="1" t="s">
        <v>421</v>
      </c>
      <c r="B362" s="2">
        <v>65</v>
      </c>
      <c r="C362" t="str" cm="1">
        <f t="array" ref="C362">_xlfn.IFS(B362&lt;=30,"Young",B362&lt;=50,"Middle-aged",B362&gt;50,"Older")</f>
        <v>Older</v>
      </c>
      <c r="D362" s="2" t="s">
        <v>10</v>
      </c>
      <c r="E362" s="2" t="s">
        <v>15</v>
      </c>
      <c r="F362" s="2">
        <f t="shared" si="23"/>
        <v>1</v>
      </c>
      <c r="G362" s="2">
        <f t="shared" si="20"/>
        <v>0</v>
      </c>
      <c r="H362" s="2">
        <f t="shared" si="21"/>
        <v>0</v>
      </c>
      <c r="I362" s="2">
        <f t="shared" si="22"/>
        <v>0</v>
      </c>
      <c r="J362" s="2">
        <v>850</v>
      </c>
      <c r="K362" s="2" t="s">
        <v>63</v>
      </c>
      <c r="L362" s="2">
        <v>49</v>
      </c>
      <c r="M362" t="str" cm="1">
        <f t="array" ref="M362">_xlfn.IFS(L362&lt;=14,"Short",L362&lt;=30,"Medium",L362&lt;=45,"Long",L362&lt;=60,"Very Long")</f>
        <v>Very Long</v>
      </c>
      <c r="N362" s="2" t="s">
        <v>41</v>
      </c>
      <c r="O362" s="3">
        <v>9.1</v>
      </c>
    </row>
    <row r="363" spans="1:15" x14ac:dyDescent="0.25">
      <c r="A363" s="4" t="s">
        <v>422</v>
      </c>
      <c r="B363" s="5">
        <v>74</v>
      </c>
      <c r="C363" t="str" cm="1">
        <f t="array" ref="C363">_xlfn.IFS(B363&lt;=30,"Young",B363&lt;=50,"Middle-aged",B363&gt;50,"Older")</f>
        <v>Older</v>
      </c>
      <c r="D363" s="5" t="s">
        <v>10</v>
      </c>
      <c r="E363" s="5" t="s">
        <v>15</v>
      </c>
      <c r="F363" s="5">
        <f t="shared" si="23"/>
        <v>1</v>
      </c>
      <c r="G363" s="5">
        <f t="shared" si="20"/>
        <v>0</v>
      </c>
      <c r="H363" s="5">
        <f t="shared" si="21"/>
        <v>0</v>
      </c>
      <c r="I363" s="5">
        <f t="shared" si="22"/>
        <v>0</v>
      </c>
      <c r="J363" s="5">
        <v>500</v>
      </c>
      <c r="K363" s="5" t="s">
        <v>63</v>
      </c>
      <c r="L363" s="5">
        <v>40</v>
      </c>
      <c r="M363" t="str" cm="1">
        <f t="array" ref="M363">_xlfn.IFS(L363&lt;=14,"Short",L363&lt;=30,"Medium",L363&lt;=45,"Long",L363&lt;=60,"Very Long")</f>
        <v>Long</v>
      </c>
      <c r="N363" s="5" t="s">
        <v>41</v>
      </c>
      <c r="O363" s="6">
        <v>6.1</v>
      </c>
    </row>
    <row r="364" spans="1:15" x14ac:dyDescent="0.25">
      <c r="A364" s="1" t="s">
        <v>423</v>
      </c>
      <c r="B364" s="2">
        <v>69</v>
      </c>
      <c r="C364" t="str" cm="1">
        <f t="array" ref="C364">_xlfn.IFS(B364&lt;=30,"Young",B364&lt;=50,"Middle-aged",B364&gt;50,"Older")</f>
        <v>Older</v>
      </c>
      <c r="D364" s="2" t="s">
        <v>10</v>
      </c>
      <c r="E364" s="2" t="s">
        <v>24</v>
      </c>
      <c r="F364" s="2">
        <f t="shared" si="23"/>
        <v>0</v>
      </c>
      <c r="G364" s="2">
        <f t="shared" si="20"/>
        <v>0</v>
      </c>
      <c r="H364" s="2">
        <f t="shared" si="21"/>
        <v>1</v>
      </c>
      <c r="I364" s="2">
        <f t="shared" si="22"/>
        <v>0</v>
      </c>
      <c r="J364" s="2">
        <v>50</v>
      </c>
      <c r="K364" s="2" t="s">
        <v>39</v>
      </c>
      <c r="L364" s="2">
        <v>47</v>
      </c>
      <c r="M364" t="str" cm="1">
        <f t="array" ref="M364">_xlfn.IFS(L364&lt;=14,"Short",L364&lt;=30,"Medium",L364&lt;=45,"Long",L364&lt;=60,"Very Long")</f>
        <v>Very Long</v>
      </c>
      <c r="N364" s="2" t="s">
        <v>13</v>
      </c>
      <c r="O364" s="3">
        <v>4.2</v>
      </c>
    </row>
    <row r="365" spans="1:15" x14ac:dyDescent="0.25">
      <c r="A365" s="4" t="s">
        <v>424</v>
      </c>
      <c r="B365" s="5">
        <v>77</v>
      </c>
      <c r="C365" t="str" cm="1">
        <f t="array" ref="C365">_xlfn.IFS(B365&lt;=30,"Young",B365&lt;=50,"Middle-aged",B365&gt;50,"Older")</f>
        <v>Older</v>
      </c>
      <c r="D365" s="5" t="s">
        <v>10</v>
      </c>
      <c r="E365" s="5" t="s">
        <v>33</v>
      </c>
      <c r="F365" s="5">
        <f t="shared" si="23"/>
        <v>0</v>
      </c>
      <c r="G365" s="5">
        <f t="shared" si="20"/>
        <v>0</v>
      </c>
      <c r="H365" s="5">
        <f t="shared" si="21"/>
        <v>0</v>
      </c>
      <c r="I365" s="5">
        <f t="shared" si="22"/>
        <v>1</v>
      </c>
      <c r="J365" s="5">
        <v>100</v>
      </c>
      <c r="K365" s="5" t="s">
        <v>34</v>
      </c>
      <c r="L365" s="5">
        <v>24</v>
      </c>
      <c r="M365" t="str" cm="1">
        <f t="array" ref="M365">_xlfn.IFS(L365&lt;=14,"Short",L365&lt;=30,"Medium",L365&lt;=45,"Long",L365&lt;=60,"Very Long")</f>
        <v>Medium</v>
      </c>
      <c r="N365" s="5" t="s">
        <v>97</v>
      </c>
      <c r="O365" s="6">
        <v>8.5</v>
      </c>
    </row>
    <row r="366" spans="1:15" x14ac:dyDescent="0.25">
      <c r="A366" s="1" t="s">
        <v>425</v>
      </c>
      <c r="B366" s="2">
        <v>66</v>
      </c>
      <c r="C366" t="str" cm="1">
        <f t="array" ref="C366">_xlfn.IFS(B366&lt;=30,"Young",B366&lt;=50,"Middle-aged",B366&gt;50,"Older")</f>
        <v>Older</v>
      </c>
      <c r="D366" s="2" t="s">
        <v>19</v>
      </c>
      <c r="E366" s="2" t="s">
        <v>24</v>
      </c>
      <c r="F366" s="2">
        <f t="shared" si="23"/>
        <v>0</v>
      </c>
      <c r="G366" s="2">
        <f t="shared" si="20"/>
        <v>0</v>
      </c>
      <c r="H366" s="2">
        <f t="shared" si="21"/>
        <v>1</v>
      </c>
      <c r="I366" s="2">
        <f t="shared" si="22"/>
        <v>0</v>
      </c>
      <c r="J366" s="2">
        <v>50</v>
      </c>
      <c r="K366" s="2" t="s">
        <v>39</v>
      </c>
      <c r="L366" s="2">
        <v>22</v>
      </c>
      <c r="M366" t="str" cm="1">
        <f t="array" ref="M366">_xlfn.IFS(L366&lt;=14,"Short",L366&lt;=30,"Medium",L366&lt;=45,"Long",L366&lt;=60,"Very Long")</f>
        <v>Medium</v>
      </c>
      <c r="N366" s="2" t="s">
        <v>85</v>
      </c>
      <c r="O366" s="3">
        <v>6</v>
      </c>
    </row>
    <row r="367" spans="1:15" x14ac:dyDescent="0.25">
      <c r="A367" s="4" t="s">
        <v>426</v>
      </c>
      <c r="B367" s="5">
        <v>19</v>
      </c>
      <c r="C367" t="str" cm="1">
        <f t="array" ref="C367">_xlfn.IFS(B367&lt;=30,"Young",B367&lt;=50,"Middle-aged",B367&gt;50,"Older")</f>
        <v>Young</v>
      </c>
      <c r="D367" s="5" t="s">
        <v>19</v>
      </c>
      <c r="E367" s="5" t="s">
        <v>33</v>
      </c>
      <c r="F367" s="5">
        <f t="shared" si="23"/>
        <v>0</v>
      </c>
      <c r="G367" s="5">
        <f t="shared" si="20"/>
        <v>0</v>
      </c>
      <c r="H367" s="5">
        <f t="shared" si="21"/>
        <v>0</v>
      </c>
      <c r="I367" s="5">
        <f t="shared" si="22"/>
        <v>1</v>
      </c>
      <c r="J367" s="5">
        <v>100</v>
      </c>
      <c r="K367" s="5" t="s">
        <v>47</v>
      </c>
      <c r="L367" s="5">
        <v>47</v>
      </c>
      <c r="M367" t="str" cm="1">
        <f t="array" ref="M367">_xlfn.IFS(L367&lt;=14,"Short",L367&lt;=30,"Medium",L367&lt;=45,"Long",L367&lt;=60,"Very Long")</f>
        <v>Very Long</v>
      </c>
      <c r="N367" s="5" t="s">
        <v>225</v>
      </c>
      <c r="O367" s="6">
        <v>8.1999999999999993</v>
      </c>
    </row>
    <row r="368" spans="1:15" x14ac:dyDescent="0.25">
      <c r="A368" s="1" t="s">
        <v>427</v>
      </c>
      <c r="B368" s="2">
        <v>18</v>
      </c>
      <c r="C368" t="str" cm="1">
        <f t="array" ref="C368">_xlfn.IFS(B368&lt;=30,"Young",B368&lt;=50,"Middle-aged",B368&gt;50,"Older")</f>
        <v>Young</v>
      </c>
      <c r="D368" s="2" t="s">
        <v>19</v>
      </c>
      <c r="E368" s="2" t="s">
        <v>33</v>
      </c>
      <c r="F368" s="2">
        <f t="shared" si="23"/>
        <v>0</v>
      </c>
      <c r="G368" s="2">
        <f t="shared" si="20"/>
        <v>0</v>
      </c>
      <c r="H368" s="2">
        <f t="shared" si="21"/>
        <v>0</v>
      </c>
      <c r="I368" s="2">
        <f t="shared" si="22"/>
        <v>1</v>
      </c>
      <c r="J368" s="2">
        <v>850</v>
      </c>
      <c r="K368" s="2" t="s">
        <v>49</v>
      </c>
      <c r="L368" s="2">
        <v>25</v>
      </c>
      <c r="M368" t="str" cm="1">
        <f t="array" ref="M368">_xlfn.IFS(L368&lt;=14,"Short",L368&lt;=30,"Medium",L368&lt;=45,"Long",L368&lt;=60,"Very Long")</f>
        <v>Medium</v>
      </c>
      <c r="N368" s="2" t="s">
        <v>13</v>
      </c>
      <c r="O368" s="3">
        <v>4</v>
      </c>
    </row>
    <row r="369" spans="1:15" x14ac:dyDescent="0.25">
      <c r="A369" s="4" t="s">
        <v>428</v>
      </c>
      <c r="B369" s="5">
        <v>65</v>
      </c>
      <c r="C369" t="str" cm="1">
        <f t="array" ref="C369">_xlfn.IFS(B369&lt;=30,"Young",B369&lt;=50,"Middle-aged",B369&gt;50,"Older")</f>
        <v>Older</v>
      </c>
      <c r="D369" s="5" t="s">
        <v>19</v>
      </c>
      <c r="E369" s="5" t="s">
        <v>20</v>
      </c>
      <c r="F369" s="5">
        <f t="shared" si="23"/>
        <v>0</v>
      </c>
      <c r="G369" s="5">
        <f t="shared" si="20"/>
        <v>1</v>
      </c>
      <c r="H369" s="5">
        <f t="shared" si="21"/>
        <v>0</v>
      </c>
      <c r="I369" s="5">
        <f t="shared" si="22"/>
        <v>0</v>
      </c>
      <c r="J369" s="5">
        <v>850</v>
      </c>
      <c r="K369" s="5" t="s">
        <v>37</v>
      </c>
      <c r="L369" s="5">
        <v>8</v>
      </c>
      <c r="M369" t="str" cm="1">
        <f t="array" ref="M369">_xlfn.IFS(L369&lt;=14,"Short",L369&lt;=30,"Medium",L369&lt;=45,"Long",L369&lt;=60,"Very Long")</f>
        <v>Short</v>
      </c>
      <c r="N369" s="5" t="s">
        <v>173</v>
      </c>
      <c r="O369" s="6">
        <v>8.3000000000000007</v>
      </c>
    </row>
    <row r="370" spans="1:15" x14ac:dyDescent="0.25">
      <c r="A370" s="1" t="s">
        <v>429</v>
      </c>
      <c r="B370" s="2">
        <v>79</v>
      </c>
      <c r="C370" t="str" cm="1">
        <f t="array" ref="C370">_xlfn.IFS(B370&lt;=30,"Young",B370&lt;=50,"Middle-aged",B370&gt;50,"Older")</f>
        <v>Older</v>
      </c>
      <c r="D370" s="2" t="s">
        <v>10</v>
      </c>
      <c r="E370" s="2" t="s">
        <v>20</v>
      </c>
      <c r="F370" s="2">
        <f t="shared" si="23"/>
        <v>0</v>
      </c>
      <c r="G370" s="2">
        <f t="shared" si="20"/>
        <v>1</v>
      </c>
      <c r="H370" s="2">
        <f t="shared" si="21"/>
        <v>0</v>
      </c>
      <c r="I370" s="2">
        <f t="shared" si="22"/>
        <v>0</v>
      </c>
      <c r="J370" s="2">
        <v>500</v>
      </c>
      <c r="K370" s="2" t="s">
        <v>55</v>
      </c>
      <c r="L370" s="2">
        <v>54</v>
      </c>
      <c r="M370" t="str" cm="1">
        <f t="array" ref="M370">_xlfn.IFS(L370&lt;=14,"Short",L370&lt;=30,"Medium",L370&lt;=45,"Long",L370&lt;=60,"Very Long")</f>
        <v>Very Long</v>
      </c>
      <c r="N370" s="2" t="s">
        <v>148</v>
      </c>
      <c r="O370" s="3">
        <v>5.2</v>
      </c>
    </row>
    <row r="371" spans="1:15" x14ac:dyDescent="0.25">
      <c r="A371" s="4" t="s">
        <v>430</v>
      </c>
      <c r="B371" s="5">
        <v>29</v>
      </c>
      <c r="C371" t="str" cm="1">
        <f t="array" ref="C371">_xlfn.IFS(B371&lt;=30,"Young",B371&lt;=50,"Middle-aged",B371&gt;50,"Older")</f>
        <v>Young</v>
      </c>
      <c r="D371" s="5" t="s">
        <v>10</v>
      </c>
      <c r="E371" s="5" t="s">
        <v>33</v>
      </c>
      <c r="F371" s="5">
        <f t="shared" si="23"/>
        <v>0</v>
      </c>
      <c r="G371" s="5">
        <f t="shared" si="20"/>
        <v>0</v>
      </c>
      <c r="H371" s="5">
        <f t="shared" si="21"/>
        <v>0</v>
      </c>
      <c r="I371" s="5">
        <f t="shared" si="22"/>
        <v>1</v>
      </c>
      <c r="J371" s="5">
        <v>100</v>
      </c>
      <c r="K371" s="5" t="s">
        <v>49</v>
      </c>
      <c r="L371" s="5">
        <v>37</v>
      </c>
      <c r="M371" t="str" cm="1">
        <f t="array" ref="M371">_xlfn.IFS(L371&lt;=14,"Short",L371&lt;=30,"Medium",L371&lt;=45,"Long",L371&lt;=60,"Very Long")</f>
        <v>Long</v>
      </c>
      <c r="N371" s="5" t="s">
        <v>13</v>
      </c>
      <c r="O371" s="6">
        <v>8.1</v>
      </c>
    </row>
    <row r="372" spans="1:15" x14ac:dyDescent="0.25">
      <c r="A372" s="1" t="s">
        <v>431</v>
      </c>
      <c r="B372" s="2">
        <v>22</v>
      </c>
      <c r="C372" t="str" cm="1">
        <f t="array" ref="C372">_xlfn.IFS(B372&lt;=30,"Young",B372&lt;=50,"Middle-aged",B372&gt;50,"Older")</f>
        <v>Young</v>
      </c>
      <c r="D372" s="2" t="s">
        <v>19</v>
      </c>
      <c r="E372" s="2" t="s">
        <v>33</v>
      </c>
      <c r="F372" s="2">
        <f t="shared" si="23"/>
        <v>0</v>
      </c>
      <c r="G372" s="2">
        <f t="shared" si="20"/>
        <v>0</v>
      </c>
      <c r="H372" s="2">
        <f t="shared" si="21"/>
        <v>0</v>
      </c>
      <c r="I372" s="2">
        <f t="shared" si="22"/>
        <v>1</v>
      </c>
      <c r="J372" s="2">
        <v>50</v>
      </c>
      <c r="K372" s="2" t="s">
        <v>47</v>
      </c>
      <c r="L372" s="2">
        <v>31</v>
      </c>
      <c r="M372" t="str" cm="1">
        <f t="array" ref="M372">_xlfn.IFS(L372&lt;=14,"Short",L372&lt;=30,"Medium",L372&lt;=45,"Long",L372&lt;=60,"Very Long")</f>
        <v>Long</v>
      </c>
      <c r="N372" s="2" t="s">
        <v>225</v>
      </c>
      <c r="O372" s="3">
        <v>7</v>
      </c>
    </row>
    <row r="373" spans="1:15" x14ac:dyDescent="0.25">
      <c r="A373" s="4" t="s">
        <v>432</v>
      </c>
      <c r="B373" s="5">
        <v>54</v>
      </c>
      <c r="C373" t="str" cm="1">
        <f t="array" ref="C373">_xlfn.IFS(B373&lt;=30,"Young",B373&lt;=50,"Middle-aged",B373&gt;50,"Older")</f>
        <v>Older</v>
      </c>
      <c r="D373" s="5" t="s">
        <v>19</v>
      </c>
      <c r="E373" s="5" t="s">
        <v>24</v>
      </c>
      <c r="F373" s="5">
        <f t="shared" si="23"/>
        <v>0</v>
      </c>
      <c r="G373" s="5">
        <f t="shared" si="20"/>
        <v>0</v>
      </c>
      <c r="H373" s="5">
        <f t="shared" si="21"/>
        <v>1</v>
      </c>
      <c r="I373" s="5">
        <f t="shared" si="22"/>
        <v>0</v>
      </c>
      <c r="J373" s="5">
        <v>100</v>
      </c>
      <c r="K373" s="5" t="s">
        <v>25</v>
      </c>
      <c r="L373" s="5">
        <v>11</v>
      </c>
      <c r="M373" t="str" cm="1">
        <f t="array" ref="M373">_xlfn.IFS(L373&lt;=14,"Short",L373&lt;=30,"Medium",L373&lt;=45,"Long",L373&lt;=60,"Very Long")</f>
        <v>Short</v>
      </c>
      <c r="N373" s="5" t="s">
        <v>26</v>
      </c>
      <c r="O373" s="6">
        <v>5.6</v>
      </c>
    </row>
    <row r="374" spans="1:15" x14ac:dyDescent="0.25">
      <c r="A374" s="1" t="s">
        <v>433</v>
      </c>
      <c r="B374" s="2">
        <v>49</v>
      </c>
      <c r="C374" t="str" cm="1">
        <f t="array" ref="C374">_xlfn.IFS(B374&lt;=30,"Young",B374&lt;=50,"Middle-aged",B374&gt;50,"Older")</f>
        <v>Middle-aged</v>
      </c>
      <c r="D374" s="2" t="s">
        <v>19</v>
      </c>
      <c r="E374" s="2" t="s">
        <v>24</v>
      </c>
      <c r="F374" s="2">
        <f t="shared" si="23"/>
        <v>0</v>
      </c>
      <c r="G374" s="2">
        <f t="shared" si="20"/>
        <v>0</v>
      </c>
      <c r="H374" s="2">
        <f t="shared" si="21"/>
        <v>1</v>
      </c>
      <c r="I374" s="2">
        <f t="shared" si="22"/>
        <v>0</v>
      </c>
      <c r="J374" s="2">
        <v>250</v>
      </c>
      <c r="K374" s="2" t="s">
        <v>59</v>
      </c>
      <c r="L374" s="2">
        <v>10</v>
      </c>
      <c r="M374" t="str" cm="1">
        <f t="array" ref="M374">_xlfn.IFS(L374&lt;=14,"Short",L374&lt;=30,"Medium",L374&lt;=45,"Long",L374&lt;=60,"Very Long")</f>
        <v>Short</v>
      </c>
      <c r="N374" s="2" t="s">
        <v>74</v>
      </c>
      <c r="O374" s="3">
        <v>6.4</v>
      </c>
    </row>
    <row r="375" spans="1:15" x14ac:dyDescent="0.25">
      <c r="A375" s="4" t="s">
        <v>434</v>
      </c>
      <c r="B375" s="5">
        <v>76</v>
      </c>
      <c r="C375" t="str" cm="1">
        <f t="array" ref="C375">_xlfn.IFS(B375&lt;=30,"Young",B375&lt;=50,"Middle-aged",B375&gt;50,"Older")</f>
        <v>Older</v>
      </c>
      <c r="D375" s="5" t="s">
        <v>10</v>
      </c>
      <c r="E375" s="5" t="s">
        <v>20</v>
      </c>
      <c r="F375" s="5">
        <f t="shared" si="23"/>
        <v>0</v>
      </c>
      <c r="G375" s="5">
        <f t="shared" si="20"/>
        <v>1</v>
      </c>
      <c r="H375" s="5">
        <f t="shared" si="21"/>
        <v>0</v>
      </c>
      <c r="I375" s="5">
        <f t="shared" si="22"/>
        <v>0</v>
      </c>
      <c r="J375" s="5">
        <v>250</v>
      </c>
      <c r="K375" s="5" t="s">
        <v>55</v>
      </c>
      <c r="L375" s="5">
        <v>19</v>
      </c>
      <c r="M375" t="str" cm="1">
        <f t="array" ref="M375">_xlfn.IFS(L375&lt;=14,"Short",L375&lt;=30,"Medium",L375&lt;=45,"Long",L375&lt;=60,"Very Long")</f>
        <v>Medium</v>
      </c>
      <c r="N375" s="5" t="s">
        <v>22</v>
      </c>
      <c r="O375" s="6">
        <v>8</v>
      </c>
    </row>
    <row r="376" spans="1:15" x14ac:dyDescent="0.25">
      <c r="A376" s="1" t="s">
        <v>435</v>
      </c>
      <c r="B376" s="2">
        <v>72</v>
      </c>
      <c r="C376" t="str" cm="1">
        <f t="array" ref="C376">_xlfn.IFS(B376&lt;=30,"Young",B376&lt;=50,"Middle-aged",B376&gt;50,"Older")</f>
        <v>Older</v>
      </c>
      <c r="D376" s="2" t="s">
        <v>19</v>
      </c>
      <c r="E376" s="2" t="s">
        <v>15</v>
      </c>
      <c r="F376" s="2">
        <f t="shared" si="23"/>
        <v>1</v>
      </c>
      <c r="G376" s="2">
        <f t="shared" si="20"/>
        <v>0</v>
      </c>
      <c r="H376" s="2">
        <f t="shared" si="21"/>
        <v>0</v>
      </c>
      <c r="I376" s="2">
        <f t="shared" si="22"/>
        <v>0</v>
      </c>
      <c r="J376" s="2">
        <v>250</v>
      </c>
      <c r="K376" s="2" t="s">
        <v>16</v>
      </c>
      <c r="L376" s="2">
        <v>22</v>
      </c>
      <c r="M376" t="str" cm="1">
        <f t="array" ref="M376">_xlfn.IFS(L376&lt;=14,"Short",L376&lt;=30,"Medium",L376&lt;=45,"Long",L376&lt;=60,"Very Long")</f>
        <v>Medium</v>
      </c>
      <c r="N376" s="2" t="s">
        <v>17</v>
      </c>
      <c r="O376" s="3">
        <v>7.2</v>
      </c>
    </row>
    <row r="377" spans="1:15" x14ac:dyDescent="0.25">
      <c r="A377" s="4" t="s">
        <v>436</v>
      </c>
      <c r="B377" s="5">
        <v>26</v>
      </c>
      <c r="C377" t="str" cm="1">
        <f t="array" ref="C377">_xlfn.IFS(B377&lt;=30,"Young",B377&lt;=50,"Middle-aged",B377&gt;50,"Older")</f>
        <v>Young</v>
      </c>
      <c r="D377" s="5" t="s">
        <v>19</v>
      </c>
      <c r="E377" s="5" t="s">
        <v>33</v>
      </c>
      <c r="F377" s="5">
        <f t="shared" si="23"/>
        <v>0</v>
      </c>
      <c r="G377" s="5">
        <f t="shared" si="20"/>
        <v>0</v>
      </c>
      <c r="H377" s="5">
        <f t="shared" si="21"/>
        <v>0</v>
      </c>
      <c r="I377" s="5">
        <f t="shared" si="22"/>
        <v>1</v>
      </c>
      <c r="J377" s="5">
        <v>100</v>
      </c>
      <c r="K377" s="5" t="s">
        <v>47</v>
      </c>
      <c r="L377" s="5">
        <v>36</v>
      </c>
      <c r="M377" t="str" cm="1">
        <f t="array" ref="M377">_xlfn.IFS(L377&lt;=14,"Short",L377&lt;=30,"Medium",L377&lt;=45,"Long",L377&lt;=60,"Very Long")</f>
        <v>Long</v>
      </c>
      <c r="N377" s="5" t="s">
        <v>345</v>
      </c>
      <c r="O377" s="6">
        <v>7.9</v>
      </c>
    </row>
    <row r="378" spans="1:15" x14ac:dyDescent="0.25">
      <c r="A378" s="1" t="s">
        <v>437</v>
      </c>
      <c r="B378" s="2">
        <v>58</v>
      </c>
      <c r="C378" t="str" cm="1">
        <f t="array" ref="C378">_xlfn.IFS(B378&lt;=30,"Young",B378&lt;=50,"Middle-aged",B378&gt;50,"Older")</f>
        <v>Older</v>
      </c>
      <c r="D378" s="2" t="s">
        <v>19</v>
      </c>
      <c r="E378" s="2" t="s">
        <v>24</v>
      </c>
      <c r="F378" s="2">
        <f t="shared" si="23"/>
        <v>0</v>
      </c>
      <c r="G378" s="2">
        <f t="shared" si="20"/>
        <v>0</v>
      </c>
      <c r="H378" s="2">
        <f t="shared" si="21"/>
        <v>1</v>
      </c>
      <c r="I378" s="2">
        <f t="shared" si="22"/>
        <v>0</v>
      </c>
      <c r="J378" s="2">
        <v>250</v>
      </c>
      <c r="K378" s="2" t="s">
        <v>59</v>
      </c>
      <c r="L378" s="2">
        <v>15</v>
      </c>
      <c r="M378" t="str" cm="1">
        <f t="array" ref="M378">_xlfn.IFS(L378&lt;=14,"Short",L378&lt;=30,"Medium",L378&lt;=45,"Long",L378&lt;=60,"Very Long")</f>
        <v>Medium</v>
      </c>
      <c r="N378" s="2" t="s">
        <v>74</v>
      </c>
      <c r="O378" s="3">
        <v>10</v>
      </c>
    </row>
    <row r="379" spans="1:15" x14ac:dyDescent="0.25">
      <c r="A379" s="4" t="s">
        <v>438</v>
      </c>
      <c r="B379" s="5">
        <v>52</v>
      </c>
      <c r="C379" t="str" cm="1">
        <f t="array" ref="C379">_xlfn.IFS(B379&lt;=30,"Young",B379&lt;=50,"Middle-aged",B379&gt;50,"Older")</f>
        <v>Older</v>
      </c>
      <c r="D379" s="5" t="s">
        <v>10</v>
      </c>
      <c r="E379" s="5" t="s">
        <v>20</v>
      </c>
      <c r="F379" s="5">
        <f t="shared" si="23"/>
        <v>0</v>
      </c>
      <c r="G379" s="5">
        <f t="shared" si="20"/>
        <v>1</v>
      </c>
      <c r="H379" s="5">
        <f t="shared" si="21"/>
        <v>0</v>
      </c>
      <c r="I379" s="5">
        <f t="shared" si="22"/>
        <v>0</v>
      </c>
      <c r="J379" s="5">
        <v>250</v>
      </c>
      <c r="K379" s="5" t="s">
        <v>55</v>
      </c>
      <c r="L379" s="5">
        <v>24</v>
      </c>
      <c r="M379" t="str" cm="1">
        <f t="array" ref="M379">_xlfn.IFS(L379&lt;=14,"Short",L379&lt;=30,"Medium",L379&lt;=45,"Long",L379&lt;=60,"Very Long")</f>
        <v>Medium</v>
      </c>
      <c r="N379" s="5" t="s">
        <v>148</v>
      </c>
      <c r="O379" s="6">
        <v>4.7</v>
      </c>
    </row>
    <row r="380" spans="1:15" x14ac:dyDescent="0.25">
      <c r="A380" s="1" t="s">
        <v>439</v>
      </c>
      <c r="B380" s="2">
        <v>36</v>
      </c>
      <c r="C380" t="str" cm="1">
        <f t="array" ref="C380">_xlfn.IFS(B380&lt;=30,"Young",B380&lt;=50,"Middle-aged",B380&gt;50,"Older")</f>
        <v>Middle-aged</v>
      </c>
      <c r="D380" s="2" t="s">
        <v>10</v>
      </c>
      <c r="E380" s="2" t="s">
        <v>24</v>
      </c>
      <c r="F380" s="2">
        <f t="shared" si="23"/>
        <v>0</v>
      </c>
      <c r="G380" s="2">
        <f t="shared" si="20"/>
        <v>0</v>
      </c>
      <c r="H380" s="2">
        <f t="shared" si="21"/>
        <v>1</v>
      </c>
      <c r="I380" s="2">
        <f t="shared" si="22"/>
        <v>0</v>
      </c>
      <c r="J380" s="2">
        <v>50</v>
      </c>
      <c r="K380" s="2" t="s">
        <v>25</v>
      </c>
      <c r="L380" s="2">
        <v>28</v>
      </c>
      <c r="M380" t="str" cm="1">
        <f t="array" ref="M380">_xlfn.IFS(L380&lt;=14,"Short",L380&lt;=30,"Medium",L380&lt;=45,"Long",L380&lt;=60,"Very Long")</f>
        <v>Medium</v>
      </c>
      <c r="N380" s="2" t="s">
        <v>70</v>
      </c>
      <c r="O380" s="3">
        <v>9.4</v>
      </c>
    </row>
    <row r="381" spans="1:15" x14ac:dyDescent="0.25">
      <c r="A381" s="4" t="s">
        <v>440</v>
      </c>
      <c r="B381" s="5">
        <v>65</v>
      </c>
      <c r="C381" t="str" cm="1">
        <f t="array" ref="C381">_xlfn.IFS(B381&lt;=30,"Young",B381&lt;=50,"Middle-aged",B381&gt;50,"Older")</f>
        <v>Older</v>
      </c>
      <c r="D381" s="5" t="s">
        <v>10</v>
      </c>
      <c r="E381" s="5" t="s">
        <v>33</v>
      </c>
      <c r="F381" s="5">
        <f t="shared" si="23"/>
        <v>0</v>
      </c>
      <c r="G381" s="5">
        <f t="shared" si="20"/>
        <v>0</v>
      </c>
      <c r="H381" s="5">
        <f t="shared" si="21"/>
        <v>0</v>
      </c>
      <c r="I381" s="5">
        <f t="shared" si="22"/>
        <v>1</v>
      </c>
      <c r="J381" s="5">
        <v>100</v>
      </c>
      <c r="K381" s="5" t="s">
        <v>49</v>
      </c>
      <c r="L381" s="5">
        <v>19</v>
      </c>
      <c r="M381" t="str" cm="1">
        <f t="array" ref="M381">_xlfn.IFS(L381&lt;=14,"Short",L381&lt;=30,"Medium",L381&lt;=45,"Long",L381&lt;=60,"Very Long")</f>
        <v>Medium</v>
      </c>
      <c r="N381" s="5" t="s">
        <v>13</v>
      </c>
      <c r="O381" s="6">
        <v>7.2</v>
      </c>
    </row>
    <row r="382" spans="1:15" x14ac:dyDescent="0.25">
      <c r="A382" s="1" t="s">
        <v>441</v>
      </c>
      <c r="B382" s="2">
        <v>33</v>
      </c>
      <c r="C382" t="str" cm="1">
        <f t="array" ref="C382">_xlfn.IFS(B382&lt;=30,"Young",B382&lt;=50,"Middle-aged",B382&gt;50,"Older")</f>
        <v>Middle-aged</v>
      </c>
      <c r="D382" s="2" t="s">
        <v>10</v>
      </c>
      <c r="E382" s="2" t="s">
        <v>33</v>
      </c>
      <c r="F382" s="2">
        <f t="shared" si="23"/>
        <v>0</v>
      </c>
      <c r="G382" s="2">
        <f t="shared" si="20"/>
        <v>0</v>
      </c>
      <c r="H382" s="2">
        <f t="shared" si="21"/>
        <v>0</v>
      </c>
      <c r="I382" s="2">
        <f t="shared" si="22"/>
        <v>1</v>
      </c>
      <c r="J382" s="2">
        <v>100</v>
      </c>
      <c r="K382" s="2" t="s">
        <v>34</v>
      </c>
      <c r="L382" s="2">
        <v>52</v>
      </c>
      <c r="M382" t="str" cm="1">
        <f t="array" ref="M382">_xlfn.IFS(L382&lt;=14,"Short",L382&lt;=30,"Medium",L382&lt;=45,"Long",L382&lt;=60,"Very Long")</f>
        <v>Very Long</v>
      </c>
      <c r="N382" s="2" t="s">
        <v>97</v>
      </c>
      <c r="O382" s="3">
        <v>5.7</v>
      </c>
    </row>
    <row r="383" spans="1:15" x14ac:dyDescent="0.25">
      <c r="A383" s="4" t="s">
        <v>442</v>
      </c>
      <c r="B383" s="5">
        <v>20</v>
      </c>
      <c r="C383" t="str" cm="1">
        <f t="array" ref="C383">_xlfn.IFS(B383&lt;=30,"Young",B383&lt;=50,"Middle-aged",B383&gt;50,"Older")</f>
        <v>Young</v>
      </c>
      <c r="D383" s="5" t="s">
        <v>10</v>
      </c>
      <c r="E383" s="5" t="s">
        <v>11</v>
      </c>
      <c r="F383" s="5">
        <f t="shared" si="23"/>
        <v>0</v>
      </c>
      <c r="G383" s="5">
        <f t="shared" si="20"/>
        <v>0</v>
      </c>
      <c r="H383" s="5">
        <f t="shared" si="21"/>
        <v>0</v>
      </c>
      <c r="I383" s="5">
        <f t="shared" si="22"/>
        <v>0</v>
      </c>
      <c r="J383" s="5">
        <v>100</v>
      </c>
      <c r="K383" s="5" t="s">
        <v>51</v>
      </c>
      <c r="L383" s="5">
        <v>11</v>
      </c>
      <c r="M383" t="str" cm="1">
        <f t="array" ref="M383">_xlfn.IFS(L383&lt;=14,"Short",L383&lt;=30,"Medium",L383&lt;=45,"Long",L383&lt;=60,"Very Long")</f>
        <v>Short</v>
      </c>
      <c r="N383" s="5" t="s">
        <v>52</v>
      </c>
      <c r="O383" s="6">
        <v>5</v>
      </c>
    </row>
    <row r="384" spans="1:15" x14ac:dyDescent="0.25">
      <c r="A384" s="1" t="s">
        <v>443</v>
      </c>
      <c r="B384" s="2">
        <v>37</v>
      </c>
      <c r="C384" t="str" cm="1">
        <f t="array" ref="C384">_xlfn.IFS(B384&lt;=30,"Young",B384&lt;=50,"Middle-aged",B384&gt;50,"Older")</f>
        <v>Middle-aged</v>
      </c>
      <c r="D384" s="2" t="s">
        <v>10</v>
      </c>
      <c r="E384" s="2" t="s">
        <v>15</v>
      </c>
      <c r="F384" s="2">
        <f t="shared" si="23"/>
        <v>1</v>
      </c>
      <c r="G384" s="2">
        <f t="shared" si="20"/>
        <v>0</v>
      </c>
      <c r="H384" s="2">
        <f t="shared" si="21"/>
        <v>0</v>
      </c>
      <c r="I384" s="2">
        <f t="shared" si="22"/>
        <v>0</v>
      </c>
      <c r="J384" s="2">
        <v>500</v>
      </c>
      <c r="K384" s="2" t="s">
        <v>44</v>
      </c>
      <c r="L384" s="2">
        <v>25</v>
      </c>
      <c r="M384" t="str" cm="1">
        <f t="array" ref="M384">_xlfn.IFS(L384&lt;=14,"Short",L384&lt;=30,"Medium",L384&lt;=45,"Long",L384&lt;=60,"Very Long")</f>
        <v>Medium</v>
      </c>
      <c r="N384" s="2" t="s">
        <v>95</v>
      </c>
      <c r="O384" s="3">
        <v>6.7</v>
      </c>
    </row>
    <row r="385" spans="1:15" x14ac:dyDescent="0.25">
      <c r="A385" s="4" t="s">
        <v>444</v>
      </c>
      <c r="B385" s="5">
        <v>41</v>
      </c>
      <c r="C385" t="str" cm="1">
        <f t="array" ref="C385">_xlfn.IFS(B385&lt;=30,"Young",B385&lt;=50,"Middle-aged",B385&gt;50,"Older")</f>
        <v>Middle-aged</v>
      </c>
      <c r="D385" s="5" t="s">
        <v>10</v>
      </c>
      <c r="E385" s="5" t="s">
        <v>11</v>
      </c>
      <c r="F385" s="5">
        <f t="shared" si="23"/>
        <v>0</v>
      </c>
      <c r="G385" s="5">
        <f t="shared" si="20"/>
        <v>0</v>
      </c>
      <c r="H385" s="5">
        <f t="shared" si="21"/>
        <v>0</v>
      </c>
      <c r="I385" s="5">
        <f t="shared" si="22"/>
        <v>0</v>
      </c>
      <c r="J385" s="5">
        <v>100</v>
      </c>
      <c r="K385" s="5" t="s">
        <v>12</v>
      </c>
      <c r="L385" s="5">
        <v>46</v>
      </c>
      <c r="M385" t="str" cm="1">
        <f t="array" ref="M385">_xlfn.IFS(L385&lt;=14,"Short",L385&lt;=30,"Medium",L385&lt;=45,"Long",L385&lt;=60,"Very Long")</f>
        <v>Very Long</v>
      </c>
      <c r="N385" s="5" t="s">
        <v>120</v>
      </c>
      <c r="O385" s="6">
        <v>8.4</v>
      </c>
    </row>
    <row r="386" spans="1:15" x14ac:dyDescent="0.25">
      <c r="A386" s="1" t="s">
        <v>445</v>
      </c>
      <c r="B386" s="2">
        <v>71</v>
      </c>
      <c r="C386" t="str" cm="1">
        <f t="array" ref="C386">_xlfn.IFS(B386&lt;=30,"Young",B386&lt;=50,"Middle-aged",B386&gt;50,"Older")</f>
        <v>Older</v>
      </c>
      <c r="D386" s="2" t="s">
        <v>10</v>
      </c>
      <c r="E386" s="2" t="s">
        <v>20</v>
      </c>
      <c r="F386" s="2">
        <f t="shared" si="23"/>
        <v>0</v>
      </c>
      <c r="G386" s="2">
        <f t="shared" ref="G386:G449" si="24">IF($E386="Depression",1,0)</f>
        <v>1</v>
      </c>
      <c r="H386" s="2">
        <f t="shared" ref="H386:H449" si="25">IF($E386="Diabetes",1,0)</f>
        <v>0</v>
      </c>
      <c r="I386" s="2">
        <f t="shared" ref="I386:I449" si="26">IF($E386="Pain relief",1,0)</f>
        <v>0</v>
      </c>
      <c r="J386" s="2">
        <v>850</v>
      </c>
      <c r="K386" s="2" t="s">
        <v>55</v>
      </c>
      <c r="L386" s="2">
        <v>30</v>
      </c>
      <c r="M386" t="str" cm="1">
        <f t="array" ref="M386">_xlfn.IFS(L386&lt;=14,"Short",L386&lt;=30,"Medium",L386&lt;=45,"Long",L386&lt;=60,"Very Long")</f>
        <v>Medium</v>
      </c>
      <c r="N386" s="2" t="s">
        <v>148</v>
      </c>
      <c r="O386" s="3">
        <v>6.8</v>
      </c>
    </row>
    <row r="387" spans="1:15" x14ac:dyDescent="0.25">
      <c r="A387" s="4" t="s">
        <v>446</v>
      </c>
      <c r="B387" s="5">
        <v>73</v>
      </c>
      <c r="C387" t="str" cm="1">
        <f t="array" ref="C387">_xlfn.IFS(B387&lt;=30,"Young",B387&lt;=50,"Middle-aged",B387&gt;50,"Older")</f>
        <v>Older</v>
      </c>
      <c r="D387" s="5" t="s">
        <v>19</v>
      </c>
      <c r="E387" s="5" t="s">
        <v>24</v>
      </c>
      <c r="F387" s="5">
        <f t="shared" ref="F387:F450" si="27">IF($E387="Hypertension",1,0)</f>
        <v>0</v>
      </c>
      <c r="G387" s="5">
        <f t="shared" si="24"/>
        <v>0</v>
      </c>
      <c r="H387" s="5">
        <f t="shared" si="25"/>
        <v>1</v>
      </c>
      <c r="I387" s="5">
        <f t="shared" si="26"/>
        <v>0</v>
      </c>
      <c r="J387" s="5">
        <v>500</v>
      </c>
      <c r="K387" s="5" t="s">
        <v>59</v>
      </c>
      <c r="L387" s="5">
        <v>48</v>
      </c>
      <c r="M387" t="str" cm="1">
        <f t="array" ref="M387">_xlfn.IFS(L387&lt;=14,"Short",L387&lt;=30,"Medium",L387&lt;=45,"Long",L387&lt;=60,"Very Long")</f>
        <v>Very Long</v>
      </c>
      <c r="N387" s="5" t="s">
        <v>150</v>
      </c>
      <c r="O387" s="6">
        <v>9.3000000000000007</v>
      </c>
    </row>
    <row r="388" spans="1:15" x14ac:dyDescent="0.25">
      <c r="A388" s="1" t="s">
        <v>447</v>
      </c>
      <c r="B388" s="2">
        <v>50</v>
      </c>
      <c r="C388" t="str" cm="1">
        <f t="array" ref="C388">_xlfn.IFS(B388&lt;=30,"Young",B388&lt;=50,"Middle-aged",B388&gt;50,"Older")</f>
        <v>Middle-aged</v>
      </c>
      <c r="D388" s="2" t="s">
        <v>19</v>
      </c>
      <c r="E388" s="2" t="s">
        <v>20</v>
      </c>
      <c r="F388" s="2">
        <f t="shared" si="27"/>
        <v>0</v>
      </c>
      <c r="G388" s="2">
        <f t="shared" si="24"/>
        <v>1</v>
      </c>
      <c r="H388" s="2">
        <f t="shared" si="25"/>
        <v>0</v>
      </c>
      <c r="I388" s="2">
        <f t="shared" si="26"/>
        <v>0</v>
      </c>
      <c r="J388" s="2">
        <v>250</v>
      </c>
      <c r="K388" s="2" t="s">
        <v>55</v>
      </c>
      <c r="L388" s="2">
        <v>18</v>
      </c>
      <c r="M388" t="str" cm="1">
        <f t="array" ref="M388">_xlfn.IFS(L388&lt;=14,"Short",L388&lt;=30,"Medium",L388&lt;=45,"Long",L388&lt;=60,"Very Long")</f>
        <v>Medium</v>
      </c>
      <c r="N388" s="2" t="s">
        <v>78</v>
      </c>
      <c r="O388" s="3">
        <v>4.8</v>
      </c>
    </row>
    <row r="389" spans="1:15" x14ac:dyDescent="0.25">
      <c r="A389" s="4" t="s">
        <v>448</v>
      </c>
      <c r="B389" s="5">
        <v>41</v>
      </c>
      <c r="C389" t="str" cm="1">
        <f t="array" ref="C389">_xlfn.IFS(B389&lt;=30,"Young",B389&lt;=50,"Middle-aged",B389&gt;50,"Older")</f>
        <v>Middle-aged</v>
      </c>
      <c r="D389" s="5" t="s">
        <v>10</v>
      </c>
      <c r="E389" s="5" t="s">
        <v>33</v>
      </c>
      <c r="F389" s="5">
        <f t="shared" si="27"/>
        <v>0</v>
      </c>
      <c r="G389" s="5">
        <f t="shared" si="24"/>
        <v>0</v>
      </c>
      <c r="H389" s="5">
        <f t="shared" si="25"/>
        <v>0</v>
      </c>
      <c r="I389" s="5">
        <f t="shared" si="26"/>
        <v>1</v>
      </c>
      <c r="J389" s="5">
        <v>500</v>
      </c>
      <c r="K389" s="5" t="s">
        <v>34</v>
      </c>
      <c r="L389" s="5">
        <v>41</v>
      </c>
      <c r="M389" t="str" cm="1">
        <f t="array" ref="M389">_xlfn.IFS(L389&lt;=14,"Short",L389&lt;=30,"Medium",L389&lt;=45,"Long",L389&lt;=60,"Very Long")</f>
        <v>Long</v>
      </c>
      <c r="N389" s="5" t="s">
        <v>35</v>
      </c>
      <c r="O389" s="6">
        <v>7</v>
      </c>
    </row>
    <row r="390" spans="1:15" x14ac:dyDescent="0.25">
      <c r="A390" s="1" t="s">
        <v>449</v>
      </c>
      <c r="B390" s="2">
        <v>69</v>
      </c>
      <c r="C390" t="str" cm="1">
        <f t="array" ref="C390">_xlfn.IFS(B390&lt;=30,"Young",B390&lt;=50,"Middle-aged",B390&gt;50,"Older")</f>
        <v>Older</v>
      </c>
      <c r="D390" s="2" t="s">
        <v>10</v>
      </c>
      <c r="E390" s="2" t="s">
        <v>11</v>
      </c>
      <c r="F390" s="2">
        <f t="shared" si="27"/>
        <v>0</v>
      </c>
      <c r="G390" s="2">
        <f t="shared" si="24"/>
        <v>0</v>
      </c>
      <c r="H390" s="2">
        <f t="shared" si="25"/>
        <v>0</v>
      </c>
      <c r="I390" s="2">
        <f t="shared" si="26"/>
        <v>0</v>
      </c>
      <c r="J390" s="2">
        <v>250</v>
      </c>
      <c r="K390" s="2" t="s">
        <v>12</v>
      </c>
      <c r="L390" s="2">
        <v>25</v>
      </c>
      <c r="M390" t="str" cm="1">
        <f t="array" ref="M390">_xlfn.IFS(L390&lt;=14,"Short",L390&lt;=30,"Medium",L390&lt;=45,"Long",L390&lt;=60,"Very Long")</f>
        <v>Medium</v>
      </c>
      <c r="N390" s="2" t="s">
        <v>13</v>
      </c>
      <c r="O390" s="3">
        <v>5.0999999999999996</v>
      </c>
    </row>
    <row r="391" spans="1:15" x14ac:dyDescent="0.25">
      <c r="A391" s="4" t="s">
        <v>450</v>
      </c>
      <c r="B391" s="5">
        <v>28</v>
      </c>
      <c r="C391" t="str" cm="1">
        <f t="array" ref="C391">_xlfn.IFS(B391&lt;=30,"Young",B391&lt;=50,"Middle-aged",B391&gt;50,"Older")</f>
        <v>Young</v>
      </c>
      <c r="D391" s="5" t="s">
        <v>19</v>
      </c>
      <c r="E391" s="5" t="s">
        <v>11</v>
      </c>
      <c r="F391" s="5">
        <f t="shared" si="27"/>
        <v>0</v>
      </c>
      <c r="G391" s="5">
        <f t="shared" si="24"/>
        <v>0</v>
      </c>
      <c r="H391" s="5">
        <f t="shared" si="25"/>
        <v>0</v>
      </c>
      <c r="I391" s="5">
        <f t="shared" si="26"/>
        <v>0</v>
      </c>
      <c r="J391" s="5">
        <v>250</v>
      </c>
      <c r="K391" s="5" t="s">
        <v>51</v>
      </c>
      <c r="L391" s="5">
        <v>22</v>
      </c>
      <c r="M391" t="str" cm="1">
        <f t="array" ref="M391">_xlfn.IFS(L391&lt;=14,"Short",L391&lt;=30,"Medium",L391&lt;=45,"Long",L391&lt;=60,"Very Long")</f>
        <v>Medium</v>
      </c>
      <c r="N391" s="5" t="s">
        <v>52</v>
      </c>
      <c r="O391" s="6">
        <v>7.5</v>
      </c>
    </row>
    <row r="392" spans="1:15" x14ac:dyDescent="0.25">
      <c r="A392" s="1" t="s">
        <v>451</v>
      </c>
      <c r="B392" s="2">
        <v>66</v>
      </c>
      <c r="C392" t="str" cm="1">
        <f t="array" ref="C392">_xlfn.IFS(B392&lt;=30,"Young",B392&lt;=50,"Middle-aged",B392&gt;50,"Older")</f>
        <v>Older</v>
      </c>
      <c r="D392" s="2" t="s">
        <v>10</v>
      </c>
      <c r="E392" s="2" t="s">
        <v>11</v>
      </c>
      <c r="F392" s="2">
        <f t="shared" si="27"/>
        <v>0</v>
      </c>
      <c r="G392" s="2">
        <f t="shared" si="24"/>
        <v>0</v>
      </c>
      <c r="H392" s="2">
        <f t="shared" si="25"/>
        <v>0</v>
      </c>
      <c r="I392" s="2">
        <f t="shared" si="26"/>
        <v>0</v>
      </c>
      <c r="J392" s="2">
        <v>250</v>
      </c>
      <c r="K392" s="2" t="s">
        <v>84</v>
      </c>
      <c r="L392" s="2">
        <v>9</v>
      </c>
      <c r="M392" t="str" cm="1">
        <f t="array" ref="M392">_xlfn.IFS(L392&lt;=14,"Short",L392&lt;=30,"Medium",L392&lt;=45,"Long",L392&lt;=60,"Very Long")</f>
        <v>Short</v>
      </c>
      <c r="N392" s="2" t="s">
        <v>93</v>
      </c>
      <c r="O392" s="3">
        <v>8.3000000000000007</v>
      </c>
    </row>
    <row r="393" spans="1:15" x14ac:dyDescent="0.25">
      <c r="A393" s="4" t="s">
        <v>452</v>
      </c>
      <c r="B393" s="5">
        <v>25</v>
      </c>
      <c r="C393" t="str" cm="1">
        <f t="array" ref="C393">_xlfn.IFS(B393&lt;=30,"Young",B393&lt;=50,"Middle-aged",B393&gt;50,"Older")</f>
        <v>Young</v>
      </c>
      <c r="D393" s="5" t="s">
        <v>10</v>
      </c>
      <c r="E393" s="5" t="s">
        <v>20</v>
      </c>
      <c r="F393" s="5">
        <f t="shared" si="27"/>
        <v>0</v>
      </c>
      <c r="G393" s="5">
        <f t="shared" si="24"/>
        <v>1</v>
      </c>
      <c r="H393" s="5">
        <f t="shared" si="25"/>
        <v>0</v>
      </c>
      <c r="I393" s="5">
        <f t="shared" si="26"/>
        <v>0</v>
      </c>
      <c r="J393" s="5">
        <v>50</v>
      </c>
      <c r="K393" s="5" t="s">
        <v>21</v>
      </c>
      <c r="L393" s="5">
        <v>7</v>
      </c>
      <c r="M393" t="str" cm="1">
        <f t="array" ref="M393">_xlfn.IFS(L393&lt;=14,"Short",L393&lt;=30,"Medium",L393&lt;=45,"Long",L393&lt;=60,"Very Long")</f>
        <v>Short</v>
      </c>
      <c r="N393" s="5" t="s">
        <v>28</v>
      </c>
      <c r="O393" s="6">
        <v>6.4</v>
      </c>
    </row>
    <row r="394" spans="1:15" x14ac:dyDescent="0.25">
      <c r="A394" s="1" t="s">
        <v>453</v>
      </c>
      <c r="B394" s="2">
        <v>53</v>
      </c>
      <c r="C394" t="str" cm="1">
        <f t="array" ref="C394">_xlfn.IFS(B394&lt;=30,"Young",B394&lt;=50,"Middle-aged",B394&gt;50,"Older")</f>
        <v>Older</v>
      </c>
      <c r="D394" s="2" t="s">
        <v>10</v>
      </c>
      <c r="E394" s="2" t="s">
        <v>33</v>
      </c>
      <c r="F394" s="2">
        <f t="shared" si="27"/>
        <v>0</v>
      </c>
      <c r="G394" s="2">
        <f t="shared" si="24"/>
        <v>0</v>
      </c>
      <c r="H394" s="2">
        <f t="shared" si="25"/>
        <v>0</v>
      </c>
      <c r="I394" s="2">
        <f t="shared" si="26"/>
        <v>1</v>
      </c>
      <c r="J394" s="2">
        <v>850</v>
      </c>
      <c r="K394" s="2" t="s">
        <v>47</v>
      </c>
      <c r="L394" s="2">
        <v>27</v>
      </c>
      <c r="M394" t="str" cm="1">
        <f t="array" ref="M394">_xlfn.IFS(L394&lt;=14,"Short",L394&lt;=30,"Medium",L394&lt;=45,"Long",L394&lt;=60,"Very Long")</f>
        <v>Medium</v>
      </c>
      <c r="N394" s="2" t="s">
        <v>345</v>
      </c>
      <c r="O394" s="3">
        <v>3.1</v>
      </c>
    </row>
    <row r="395" spans="1:15" x14ac:dyDescent="0.25">
      <c r="A395" s="4" t="s">
        <v>454</v>
      </c>
      <c r="B395" s="5">
        <v>55</v>
      </c>
      <c r="C395" t="str" cm="1">
        <f t="array" ref="C395">_xlfn.IFS(B395&lt;=30,"Young",B395&lt;=50,"Middle-aged",B395&gt;50,"Older")</f>
        <v>Older</v>
      </c>
      <c r="D395" s="5" t="s">
        <v>19</v>
      </c>
      <c r="E395" s="5" t="s">
        <v>24</v>
      </c>
      <c r="F395" s="5">
        <f t="shared" si="27"/>
        <v>0</v>
      </c>
      <c r="G395" s="5">
        <f t="shared" si="24"/>
        <v>0</v>
      </c>
      <c r="H395" s="5">
        <f t="shared" si="25"/>
        <v>1</v>
      </c>
      <c r="I395" s="5">
        <f t="shared" si="26"/>
        <v>0</v>
      </c>
      <c r="J395" s="5">
        <v>850</v>
      </c>
      <c r="K395" s="5" t="s">
        <v>25</v>
      </c>
      <c r="L395" s="5">
        <v>30</v>
      </c>
      <c r="M395" t="str" cm="1">
        <f t="array" ref="M395">_xlfn.IFS(L395&lt;=14,"Short",L395&lt;=30,"Medium",L395&lt;=45,"Long",L395&lt;=60,"Very Long")</f>
        <v>Medium</v>
      </c>
      <c r="N395" s="5" t="s">
        <v>13</v>
      </c>
      <c r="O395" s="6">
        <v>7.3</v>
      </c>
    </row>
    <row r="396" spans="1:15" x14ac:dyDescent="0.25">
      <c r="A396" s="1" t="s">
        <v>455</v>
      </c>
      <c r="B396" s="2">
        <v>57</v>
      </c>
      <c r="C396" t="str" cm="1">
        <f t="array" ref="C396">_xlfn.IFS(B396&lt;=30,"Young",B396&lt;=50,"Middle-aged",B396&gt;50,"Older")</f>
        <v>Older</v>
      </c>
      <c r="D396" s="2" t="s">
        <v>19</v>
      </c>
      <c r="E396" s="2" t="s">
        <v>24</v>
      </c>
      <c r="F396" s="2">
        <f t="shared" si="27"/>
        <v>0</v>
      </c>
      <c r="G396" s="2">
        <f t="shared" si="24"/>
        <v>0</v>
      </c>
      <c r="H396" s="2">
        <f t="shared" si="25"/>
        <v>1</v>
      </c>
      <c r="I396" s="2">
        <f t="shared" si="26"/>
        <v>0</v>
      </c>
      <c r="J396" s="2">
        <v>250</v>
      </c>
      <c r="K396" s="2" t="s">
        <v>59</v>
      </c>
      <c r="L396" s="2">
        <v>41</v>
      </c>
      <c r="M396" t="str" cm="1">
        <f t="array" ref="M396">_xlfn.IFS(L396&lt;=14,"Short",L396&lt;=30,"Medium",L396&lt;=45,"Long",L396&lt;=60,"Very Long")</f>
        <v>Long</v>
      </c>
      <c r="N396" s="2" t="s">
        <v>60</v>
      </c>
      <c r="O396" s="3">
        <v>7.7</v>
      </c>
    </row>
    <row r="397" spans="1:15" x14ac:dyDescent="0.25">
      <c r="A397" s="4" t="s">
        <v>456</v>
      </c>
      <c r="B397" s="5">
        <v>37</v>
      </c>
      <c r="C397" t="str" cm="1">
        <f t="array" ref="C397">_xlfn.IFS(B397&lt;=30,"Young",B397&lt;=50,"Middle-aged",B397&gt;50,"Older")</f>
        <v>Middle-aged</v>
      </c>
      <c r="D397" s="5" t="s">
        <v>19</v>
      </c>
      <c r="E397" s="5" t="s">
        <v>20</v>
      </c>
      <c r="F397" s="5">
        <f t="shared" si="27"/>
        <v>0</v>
      </c>
      <c r="G397" s="5">
        <f t="shared" si="24"/>
        <v>1</v>
      </c>
      <c r="H397" s="5">
        <f t="shared" si="25"/>
        <v>0</v>
      </c>
      <c r="I397" s="5">
        <f t="shared" si="26"/>
        <v>0</v>
      </c>
      <c r="J397" s="5">
        <v>500</v>
      </c>
      <c r="K397" s="5" t="s">
        <v>21</v>
      </c>
      <c r="L397" s="5">
        <v>28</v>
      </c>
      <c r="M397" t="str" cm="1">
        <f t="array" ref="M397">_xlfn.IFS(L397&lt;=14,"Short",L397&lt;=30,"Medium",L397&lt;=45,"Long",L397&lt;=60,"Very Long")</f>
        <v>Medium</v>
      </c>
      <c r="N397" s="5" t="s">
        <v>41</v>
      </c>
      <c r="O397" s="6">
        <v>7.6</v>
      </c>
    </row>
    <row r="398" spans="1:15" x14ac:dyDescent="0.25">
      <c r="A398" s="1" t="s">
        <v>457</v>
      </c>
      <c r="B398" s="2">
        <v>79</v>
      </c>
      <c r="C398" t="str" cm="1">
        <f t="array" ref="C398">_xlfn.IFS(B398&lt;=30,"Young",B398&lt;=50,"Middle-aged",B398&gt;50,"Older")</f>
        <v>Older</v>
      </c>
      <c r="D398" s="2" t="s">
        <v>19</v>
      </c>
      <c r="E398" s="2" t="s">
        <v>11</v>
      </c>
      <c r="F398" s="2">
        <f t="shared" si="27"/>
        <v>0</v>
      </c>
      <c r="G398" s="2">
        <f t="shared" si="24"/>
        <v>0</v>
      </c>
      <c r="H398" s="2">
        <f t="shared" si="25"/>
        <v>0</v>
      </c>
      <c r="I398" s="2">
        <f t="shared" si="26"/>
        <v>0</v>
      </c>
      <c r="J398" s="2">
        <v>100</v>
      </c>
      <c r="K398" s="2" t="s">
        <v>51</v>
      </c>
      <c r="L398" s="2">
        <v>53</v>
      </c>
      <c r="M398" t="str" cm="1">
        <f t="array" ref="M398">_xlfn.IFS(L398&lt;=14,"Short",L398&lt;=30,"Medium",L398&lt;=45,"Long",L398&lt;=60,"Very Long")</f>
        <v>Very Long</v>
      </c>
      <c r="N398" s="2" t="s">
        <v>13</v>
      </c>
      <c r="O398" s="3">
        <v>8.9</v>
      </c>
    </row>
    <row r="399" spans="1:15" x14ac:dyDescent="0.25">
      <c r="A399" s="4" t="s">
        <v>458</v>
      </c>
      <c r="B399" s="5">
        <v>52</v>
      </c>
      <c r="C399" t="str" cm="1">
        <f t="array" ref="C399">_xlfn.IFS(B399&lt;=30,"Young",B399&lt;=50,"Middle-aged",B399&gt;50,"Older")</f>
        <v>Older</v>
      </c>
      <c r="D399" s="5" t="s">
        <v>19</v>
      </c>
      <c r="E399" s="5" t="s">
        <v>15</v>
      </c>
      <c r="F399" s="5">
        <f t="shared" si="27"/>
        <v>1</v>
      </c>
      <c r="G399" s="5">
        <f t="shared" si="24"/>
        <v>0</v>
      </c>
      <c r="H399" s="5">
        <f t="shared" si="25"/>
        <v>0</v>
      </c>
      <c r="I399" s="5">
        <f t="shared" si="26"/>
        <v>0</v>
      </c>
      <c r="J399" s="5">
        <v>850</v>
      </c>
      <c r="K399" s="5" t="s">
        <v>44</v>
      </c>
      <c r="L399" s="5">
        <v>23</v>
      </c>
      <c r="M399" t="str" cm="1">
        <f t="array" ref="M399">_xlfn.IFS(L399&lt;=14,"Short",L399&lt;=30,"Medium",L399&lt;=45,"Long",L399&lt;=60,"Very Long")</f>
        <v>Medium</v>
      </c>
      <c r="N399" s="5" t="s">
        <v>30</v>
      </c>
      <c r="O399" s="6">
        <v>5.4</v>
      </c>
    </row>
    <row r="400" spans="1:15" x14ac:dyDescent="0.25">
      <c r="A400" s="1" t="s">
        <v>459</v>
      </c>
      <c r="B400" s="2">
        <v>65</v>
      </c>
      <c r="C400" t="str" cm="1">
        <f t="array" ref="C400">_xlfn.IFS(B400&lt;=30,"Young",B400&lt;=50,"Middle-aged",B400&gt;50,"Older")</f>
        <v>Older</v>
      </c>
      <c r="D400" s="2" t="s">
        <v>10</v>
      </c>
      <c r="E400" s="2" t="s">
        <v>20</v>
      </c>
      <c r="F400" s="2">
        <f t="shared" si="27"/>
        <v>0</v>
      </c>
      <c r="G400" s="2">
        <f t="shared" si="24"/>
        <v>1</v>
      </c>
      <c r="H400" s="2">
        <f t="shared" si="25"/>
        <v>0</v>
      </c>
      <c r="I400" s="2">
        <f t="shared" si="26"/>
        <v>0</v>
      </c>
      <c r="J400" s="2">
        <v>100</v>
      </c>
      <c r="K400" s="2" t="s">
        <v>55</v>
      </c>
      <c r="L400" s="2">
        <v>55</v>
      </c>
      <c r="M400" t="str" cm="1">
        <f t="array" ref="M400">_xlfn.IFS(L400&lt;=14,"Short",L400&lt;=30,"Medium",L400&lt;=45,"Long",L400&lt;=60,"Very Long")</f>
        <v>Very Long</v>
      </c>
      <c r="N400" s="2" t="s">
        <v>148</v>
      </c>
      <c r="O400" s="3">
        <v>8</v>
      </c>
    </row>
    <row r="401" spans="1:15" x14ac:dyDescent="0.25">
      <c r="A401" s="4" t="s">
        <v>460</v>
      </c>
      <c r="B401" s="5">
        <v>79</v>
      </c>
      <c r="C401" t="str" cm="1">
        <f t="array" ref="C401">_xlfn.IFS(B401&lt;=30,"Young",B401&lt;=50,"Middle-aged",B401&gt;50,"Older")</f>
        <v>Older</v>
      </c>
      <c r="D401" s="5" t="s">
        <v>19</v>
      </c>
      <c r="E401" s="5" t="s">
        <v>20</v>
      </c>
      <c r="F401" s="5">
        <f t="shared" si="27"/>
        <v>0</v>
      </c>
      <c r="G401" s="5">
        <f t="shared" si="24"/>
        <v>1</v>
      </c>
      <c r="H401" s="5">
        <f t="shared" si="25"/>
        <v>0</v>
      </c>
      <c r="I401" s="5">
        <f t="shared" si="26"/>
        <v>0</v>
      </c>
      <c r="J401" s="5">
        <v>250</v>
      </c>
      <c r="K401" s="5" t="s">
        <v>21</v>
      </c>
      <c r="L401" s="5">
        <v>29</v>
      </c>
      <c r="M401" t="str" cm="1">
        <f t="array" ref="M401">_xlfn.IFS(L401&lt;=14,"Short",L401&lt;=30,"Medium",L401&lt;=45,"Long",L401&lt;=60,"Very Long")</f>
        <v>Medium</v>
      </c>
      <c r="N401" s="5" t="s">
        <v>28</v>
      </c>
      <c r="O401" s="6">
        <v>8.8000000000000007</v>
      </c>
    </row>
    <row r="402" spans="1:15" x14ac:dyDescent="0.25">
      <c r="A402" s="1" t="s">
        <v>461</v>
      </c>
      <c r="B402" s="2">
        <v>42</v>
      </c>
      <c r="C402" t="str" cm="1">
        <f t="array" ref="C402">_xlfn.IFS(B402&lt;=30,"Young",B402&lt;=50,"Middle-aged",B402&gt;50,"Older")</f>
        <v>Middle-aged</v>
      </c>
      <c r="D402" s="2" t="s">
        <v>10</v>
      </c>
      <c r="E402" s="2" t="s">
        <v>33</v>
      </c>
      <c r="F402" s="2">
        <f t="shared" si="27"/>
        <v>0</v>
      </c>
      <c r="G402" s="2">
        <f t="shared" si="24"/>
        <v>0</v>
      </c>
      <c r="H402" s="2">
        <f t="shared" si="25"/>
        <v>0</v>
      </c>
      <c r="I402" s="2">
        <f t="shared" si="26"/>
        <v>1</v>
      </c>
      <c r="J402" s="2">
        <v>850</v>
      </c>
      <c r="K402" s="2" t="s">
        <v>49</v>
      </c>
      <c r="L402" s="2">
        <v>25</v>
      </c>
      <c r="M402" t="str" cm="1">
        <f t="array" ref="M402">_xlfn.IFS(L402&lt;=14,"Short",L402&lt;=30,"Medium",L402&lt;=45,"Long",L402&lt;=60,"Very Long")</f>
        <v>Medium</v>
      </c>
      <c r="N402" s="2" t="s">
        <v>91</v>
      </c>
      <c r="O402" s="3">
        <v>4.3</v>
      </c>
    </row>
    <row r="403" spans="1:15" x14ac:dyDescent="0.25">
      <c r="A403" s="4" t="s">
        <v>462</v>
      </c>
      <c r="B403" s="5">
        <v>52</v>
      </c>
      <c r="C403" t="str" cm="1">
        <f t="array" ref="C403">_xlfn.IFS(B403&lt;=30,"Young",B403&lt;=50,"Middle-aged",B403&gt;50,"Older")</f>
        <v>Older</v>
      </c>
      <c r="D403" s="5" t="s">
        <v>10</v>
      </c>
      <c r="E403" s="5" t="s">
        <v>24</v>
      </c>
      <c r="F403" s="5">
        <f t="shared" si="27"/>
        <v>0</v>
      </c>
      <c r="G403" s="5">
        <f t="shared" si="24"/>
        <v>0</v>
      </c>
      <c r="H403" s="5">
        <f t="shared" si="25"/>
        <v>1</v>
      </c>
      <c r="I403" s="5">
        <f t="shared" si="26"/>
        <v>0</v>
      </c>
      <c r="J403" s="5">
        <v>50</v>
      </c>
      <c r="K403" s="5" t="s">
        <v>39</v>
      </c>
      <c r="L403" s="5">
        <v>16</v>
      </c>
      <c r="M403" t="str" cm="1">
        <f t="array" ref="M403">_xlfn.IFS(L403&lt;=14,"Short",L403&lt;=30,"Medium",L403&lt;=45,"Long",L403&lt;=60,"Very Long")</f>
        <v>Medium</v>
      </c>
      <c r="N403" s="5" t="s">
        <v>136</v>
      </c>
      <c r="O403" s="6">
        <v>7.5</v>
      </c>
    </row>
    <row r="404" spans="1:15" x14ac:dyDescent="0.25">
      <c r="A404" s="1" t="s">
        <v>463</v>
      </c>
      <c r="B404" s="2">
        <v>42</v>
      </c>
      <c r="C404" t="str" cm="1">
        <f t="array" ref="C404">_xlfn.IFS(B404&lt;=30,"Young",B404&lt;=50,"Middle-aged",B404&gt;50,"Older")</f>
        <v>Middle-aged</v>
      </c>
      <c r="D404" s="2" t="s">
        <v>19</v>
      </c>
      <c r="E404" s="2" t="s">
        <v>20</v>
      </c>
      <c r="F404" s="2">
        <f t="shared" si="27"/>
        <v>0</v>
      </c>
      <c r="G404" s="2">
        <f t="shared" si="24"/>
        <v>1</v>
      </c>
      <c r="H404" s="2">
        <f t="shared" si="25"/>
        <v>0</v>
      </c>
      <c r="I404" s="2">
        <f t="shared" si="26"/>
        <v>0</v>
      </c>
      <c r="J404" s="2">
        <v>50</v>
      </c>
      <c r="K404" s="2" t="s">
        <v>21</v>
      </c>
      <c r="L404" s="2">
        <v>45</v>
      </c>
      <c r="M404" t="str" cm="1">
        <f t="array" ref="M404">_xlfn.IFS(L404&lt;=14,"Short",L404&lt;=30,"Medium",L404&lt;=45,"Long",L404&lt;=60,"Very Long")</f>
        <v>Long</v>
      </c>
      <c r="N404" s="2" t="s">
        <v>41</v>
      </c>
      <c r="O404" s="3">
        <v>6.2</v>
      </c>
    </row>
    <row r="405" spans="1:15" x14ac:dyDescent="0.25">
      <c r="A405" s="4" t="s">
        <v>464</v>
      </c>
      <c r="B405" s="5">
        <v>46</v>
      </c>
      <c r="C405" t="str" cm="1">
        <f t="array" ref="C405">_xlfn.IFS(B405&lt;=30,"Young",B405&lt;=50,"Middle-aged",B405&gt;50,"Older")</f>
        <v>Middle-aged</v>
      </c>
      <c r="D405" s="5" t="s">
        <v>19</v>
      </c>
      <c r="E405" s="5" t="s">
        <v>20</v>
      </c>
      <c r="F405" s="5">
        <f t="shared" si="27"/>
        <v>0</v>
      </c>
      <c r="G405" s="5">
        <f t="shared" si="24"/>
        <v>1</v>
      </c>
      <c r="H405" s="5">
        <f t="shared" si="25"/>
        <v>0</v>
      </c>
      <c r="I405" s="5">
        <f t="shared" si="26"/>
        <v>0</v>
      </c>
      <c r="J405" s="5">
        <v>500</v>
      </c>
      <c r="K405" s="5" t="s">
        <v>37</v>
      </c>
      <c r="L405" s="5">
        <v>37</v>
      </c>
      <c r="M405" t="str" cm="1">
        <f t="array" ref="M405">_xlfn.IFS(L405&lt;=14,"Short",L405&lt;=30,"Medium",L405&lt;=45,"Long",L405&lt;=60,"Very Long")</f>
        <v>Long</v>
      </c>
      <c r="N405" s="5" t="s">
        <v>13</v>
      </c>
      <c r="O405" s="6">
        <v>6.9</v>
      </c>
    </row>
    <row r="406" spans="1:15" x14ac:dyDescent="0.25">
      <c r="A406" s="1" t="s">
        <v>465</v>
      </c>
      <c r="B406" s="2">
        <v>35</v>
      </c>
      <c r="C406" t="str" cm="1">
        <f t="array" ref="C406">_xlfn.IFS(B406&lt;=30,"Young",B406&lt;=50,"Middle-aged",B406&gt;50,"Older")</f>
        <v>Middle-aged</v>
      </c>
      <c r="D406" s="2" t="s">
        <v>10</v>
      </c>
      <c r="E406" s="2" t="s">
        <v>11</v>
      </c>
      <c r="F406" s="2">
        <f t="shared" si="27"/>
        <v>0</v>
      </c>
      <c r="G406" s="2">
        <f t="shared" si="24"/>
        <v>0</v>
      </c>
      <c r="H406" s="2">
        <f t="shared" si="25"/>
        <v>0</v>
      </c>
      <c r="I406" s="2">
        <f t="shared" si="26"/>
        <v>0</v>
      </c>
      <c r="J406" s="2">
        <v>50</v>
      </c>
      <c r="K406" s="2" t="s">
        <v>12</v>
      </c>
      <c r="L406" s="2">
        <v>54</v>
      </c>
      <c r="M406" t="str" cm="1">
        <f t="array" ref="M406">_xlfn.IFS(L406&lt;=14,"Short",L406&lt;=30,"Medium",L406&lt;=45,"Long",L406&lt;=60,"Very Long")</f>
        <v>Very Long</v>
      </c>
      <c r="N406" s="2" t="s">
        <v>120</v>
      </c>
      <c r="O406" s="3">
        <v>7.5</v>
      </c>
    </row>
    <row r="407" spans="1:15" x14ac:dyDescent="0.25">
      <c r="A407" s="4" t="s">
        <v>466</v>
      </c>
      <c r="B407" s="5">
        <v>63</v>
      </c>
      <c r="C407" t="str" cm="1">
        <f t="array" ref="C407">_xlfn.IFS(B407&lt;=30,"Young",B407&lt;=50,"Middle-aged",B407&gt;50,"Older")</f>
        <v>Older</v>
      </c>
      <c r="D407" s="5" t="s">
        <v>10</v>
      </c>
      <c r="E407" s="5" t="s">
        <v>11</v>
      </c>
      <c r="F407" s="5">
        <f t="shared" si="27"/>
        <v>0</v>
      </c>
      <c r="G407" s="5">
        <f t="shared" si="24"/>
        <v>0</v>
      </c>
      <c r="H407" s="5">
        <f t="shared" si="25"/>
        <v>0</v>
      </c>
      <c r="I407" s="5">
        <f t="shared" si="26"/>
        <v>0</v>
      </c>
      <c r="J407" s="5">
        <v>250</v>
      </c>
      <c r="K407" s="5" t="s">
        <v>51</v>
      </c>
      <c r="L407" s="5">
        <v>57</v>
      </c>
      <c r="M407" t="str" cm="1">
        <f t="array" ref="M407">_xlfn.IFS(L407&lt;=14,"Short",L407&lt;=30,"Medium",L407&lt;=45,"Long",L407&lt;=60,"Very Long")</f>
        <v>Very Long</v>
      </c>
      <c r="N407" s="5" t="s">
        <v>41</v>
      </c>
      <c r="O407" s="6">
        <v>6.3</v>
      </c>
    </row>
    <row r="408" spans="1:15" x14ac:dyDescent="0.25">
      <c r="A408" s="1" t="s">
        <v>467</v>
      </c>
      <c r="B408" s="2">
        <v>35</v>
      </c>
      <c r="C408" t="str" cm="1">
        <f t="array" ref="C408">_xlfn.IFS(B408&lt;=30,"Young",B408&lt;=50,"Middle-aged",B408&gt;50,"Older")</f>
        <v>Middle-aged</v>
      </c>
      <c r="D408" s="2" t="s">
        <v>10</v>
      </c>
      <c r="E408" s="2" t="s">
        <v>15</v>
      </c>
      <c r="F408" s="2">
        <f t="shared" si="27"/>
        <v>1</v>
      </c>
      <c r="G408" s="2">
        <f t="shared" si="24"/>
        <v>0</v>
      </c>
      <c r="H408" s="2">
        <f t="shared" si="25"/>
        <v>0</v>
      </c>
      <c r="I408" s="2">
        <f t="shared" si="26"/>
        <v>0</v>
      </c>
      <c r="J408" s="2">
        <v>250</v>
      </c>
      <c r="K408" s="2" t="s">
        <v>16</v>
      </c>
      <c r="L408" s="2">
        <v>8</v>
      </c>
      <c r="M408" t="str" cm="1">
        <f t="array" ref="M408">_xlfn.IFS(L408&lt;=14,"Short",L408&lt;=30,"Medium",L408&lt;=45,"Long",L408&lt;=60,"Very Long")</f>
        <v>Short</v>
      </c>
      <c r="N408" s="2" t="s">
        <v>17</v>
      </c>
      <c r="O408" s="3">
        <v>6</v>
      </c>
    </row>
    <row r="409" spans="1:15" x14ac:dyDescent="0.25">
      <c r="A409" s="4" t="s">
        <v>468</v>
      </c>
      <c r="B409" s="5">
        <v>19</v>
      </c>
      <c r="C409" t="str" cm="1">
        <f t="array" ref="C409">_xlfn.IFS(B409&lt;=30,"Young",B409&lt;=50,"Middle-aged",B409&gt;50,"Older")</f>
        <v>Young</v>
      </c>
      <c r="D409" s="5" t="s">
        <v>19</v>
      </c>
      <c r="E409" s="5" t="s">
        <v>33</v>
      </c>
      <c r="F409" s="5">
        <f t="shared" si="27"/>
        <v>0</v>
      </c>
      <c r="G409" s="5">
        <f t="shared" si="24"/>
        <v>0</v>
      </c>
      <c r="H409" s="5">
        <f t="shared" si="25"/>
        <v>0</v>
      </c>
      <c r="I409" s="5">
        <f t="shared" si="26"/>
        <v>1</v>
      </c>
      <c r="J409" s="5">
        <v>100</v>
      </c>
      <c r="K409" s="5" t="s">
        <v>47</v>
      </c>
      <c r="L409" s="5">
        <v>46</v>
      </c>
      <c r="M409" t="str" cm="1">
        <f t="array" ref="M409">_xlfn.IFS(L409&lt;=14,"Short",L409&lt;=30,"Medium",L409&lt;=45,"Long",L409&lt;=60,"Very Long")</f>
        <v>Very Long</v>
      </c>
      <c r="N409" s="5" t="s">
        <v>225</v>
      </c>
      <c r="O409" s="6">
        <v>7.1</v>
      </c>
    </row>
    <row r="410" spans="1:15" x14ac:dyDescent="0.25">
      <c r="A410" s="1" t="s">
        <v>469</v>
      </c>
      <c r="B410" s="2">
        <v>71</v>
      </c>
      <c r="C410" t="str" cm="1">
        <f t="array" ref="C410">_xlfn.IFS(B410&lt;=30,"Young",B410&lt;=50,"Middle-aged",B410&gt;50,"Older")</f>
        <v>Older</v>
      </c>
      <c r="D410" s="2" t="s">
        <v>19</v>
      </c>
      <c r="E410" s="2" t="s">
        <v>15</v>
      </c>
      <c r="F410" s="2">
        <f t="shared" si="27"/>
        <v>1</v>
      </c>
      <c r="G410" s="2">
        <f t="shared" si="24"/>
        <v>0</v>
      </c>
      <c r="H410" s="2">
        <f t="shared" si="25"/>
        <v>0</v>
      </c>
      <c r="I410" s="2">
        <f t="shared" si="26"/>
        <v>0</v>
      </c>
      <c r="J410" s="2">
        <v>250</v>
      </c>
      <c r="K410" s="2" t="s">
        <v>63</v>
      </c>
      <c r="L410" s="2">
        <v>11</v>
      </c>
      <c r="M410" t="str" cm="1">
        <f t="array" ref="M410">_xlfn.IFS(L410&lt;=14,"Short",L410&lt;=30,"Medium",L410&lt;=45,"Long",L410&lt;=60,"Very Long")</f>
        <v>Short</v>
      </c>
      <c r="N410" s="2" t="s">
        <v>110</v>
      </c>
      <c r="O410" s="3">
        <v>5.4</v>
      </c>
    </row>
    <row r="411" spans="1:15" x14ac:dyDescent="0.25">
      <c r="A411" s="4" t="s">
        <v>470</v>
      </c>
      <c r="B411" s="5">
        <v>52</v>
      </c>
      <c r="C411" t="str" cm="1">
        <f t="array" ref="C411">_xlfn.IFS(B411&lt;=30,"Young",B411&lt;=50,"Middle-aged",B411&gt;50,"Older")</f>
        <v>Older</v>
      </c>
      <c r="D411" s="5" t="s">
        <v>19</v>
      </c>
      <c r="E411" s="5" t="s">
        <v>11</v>
      </c>
      <c r="F411" s="5">
        <f t="shared" si="27"/>
        <v>0</v>
      </c>
      <c r="G411" s="5">
        <f t="shared" si="24"/>
        <v>0</v>
      </c>
      <c r="H411" s="5">
        <f t="shared" si="25"/>
        <v>0</v>
      </c>
      <c r="I411" s="5">
        <f t="shared" si="26"/>
        <v>0</v>
      </c>
      <c r="J411" s="5">
        <v>50</v>
      </c>
      <c r="K411" s="5" t="s">
        <v>12</v>
      </c>
      <c r="L411" s="5">
        <v>26</v>
      </c>
      <c r="M411" t="str" cm="1">
        <f t="array" ref="M411">_xlfn.IFS(L411&lt;=14,"Short",L411&lt;=30,"Medium",L411&lt;=45,"Long",L411&lt;=60,"Very Long")</f>
        <v>Medium</v>
      </c>
      <c r="N411" s="5" t="s">
        <v>120</v>
      </c>
      <c r="O411" s="6">
        <v>5.4</v>
      </c>
    </row>
    <row r="412" spans="1:15" x14ac:dyDescent="0.25">
      <c r="A412" s="1" t="s">
        <v>471</v>
      </c>
      <c r="B412" s="2">
        <v>33</v>
      </c>
      <c r="C412" t="str" cm="1">
        <f t="array" ref="C412">_xlfn.IFS(B412&lt;=30,"Young",B412&lt;=50,"Middle-aged",B412&gt;50,"Older")</f>
        <v>Middle-aged</v>
      </c>
      <c r="D412" s="2" t="s">
        <v>19</v>
      </c>
      <c r="E412" s="2" t="s">
        <v>24</v>
      </c>
      <c r="F412" s="2">
        <f t="shared" si="27"/>
        <v>0</v>
      </c>
      <c r="G412" s="2">
        <f t="shared" si="24"/>
        <v>0</v>
      </c>
      <c r="H412" s="2">
        <f t="shared" si="25"/>
        <v>1</v>
      </c>
      <c r="I412" s="2">
        <f t="shared" si="26"/>
        <v>0</v>
      </c>
      <c r="J412" s="2">
        <v>250</v>
      </c>
      <c r="K412" s="2" t="s">
        <v>25</v>
      </c>
      <c r="L412" s="2">
        <v>59</v>
      </c>
      <c r="M412" t="str" cm="1">
        <f t="array" ref="M412">_xlfn.IFS(L412&lt;=14,"Short",L412&lt;=30,"Medium",L412&lt;=45,"Long",L412&lt;=60,"Very Long")</f>
        <v>Very Long</v>
      </c>
      <c r="N412" s="2" t="s">
        <v>13</v>
      </c>
      <c r="O412" s="3">
        <v>8</v>
      </c>
    </row>
    <row r="413" spans="1:15" x14ac:dyDescent="0.25">
      <c r="A413" s="4" t="s">
        <v>472</v>
      </c>
      <c r="B413" s="5">
        <v>78</v>
      </c>
      <c r="C413" t="str" cm="1">
        <f t="array" ref="C413">_xlfn.IFS(B413&lt;=30,"Young",B413&lt;=50,"Middle-aged",B413&gt;50,"Older")</f>
        <v>Older</v>
      </c>
      <c r="D413" s="5" t="s">
        <v>19</v>
      </c>
      <c r="E413" s="5" t="s">
        <v>11</v>
      </c>
      <c r="F413" s="5">
        <f t="shared" si="27"/>
        <v>0</v>
      </c>
      <c r="G413" s="5">
        <f t="shared" si="24"/>
        <v>0</v>
      </c>
      <c r="H413" s="5">
        <f t="shared" si="25"/>
        <v>0</v>
      </c>
      <c r="I413" s="5">
        <f t="shared" si="26"/>
        <v>0</v>
      </c>
      <c r="J413" s="5">
        <v>50</v>
      </c>
      <c r="K413" s="5" t="s">
        <v>84</v>
      </c>
      <c r="L413" s="5">
        <v>37</v>
      </c>
      <c r="M413" t="str" cm="1">
        <f t="array" ref="M413">_xlfn.IFS(L413&lt;=14,"Short",L413&lt;=30,"Medium",L413&lt;=45,"Long",L413&lt;=60,"Very Long")</f>
        <v>Long</v>
      </c>
      <c r="N413" s="5" t="s">
        <v>97</v>
      </c>
      <c r="O413" s="6">
        <v>5.3</v>
      </c>
    </row>
    <row r="414" spans="1:15" x14ac:dyDescent="0.25">
      <c r="A414" s="1" t="s">
        <v>473</v>
      </c>
      <c r="B414" s="2">
        <v>58</v>
      </c>
      <c r="C414" t="str" cm="1">
        <f t="array" ref="C414">_xlfn.IFS(B414&lt;=30,"Young",B414&lt;=50,"Middle-aged",B414&gt;50,"Older")</f>
        <v>Older</v>
      </c>
      <c r="D414" s="2" t="s">
        <v>10</v>
      </c>
      <c r="E414" s="2" t="s">
        <v>33</v>
      </c>
      <c r="F414" s="2">
        <f t="shared" si="27"/>
        <v>0</v>
      </c>
      <c r="G414" s="2">
        <f t="shared" si="24"/>
        <v>0</v>
      </c>
      <c r="H414" s="2">
        <f t="shared" si="25"/>
        <v>0</v>
      </c>
      <c r="I414" s="2">
        <f t="shared" si="26"/>
        <v>1</v>
      </c>
      <c r="J414" s="2">
        <v>50</v>
      </c>
      <c r="K414" s="2" t="s">
        <v>49</v>
      </c>
      <c r="L414" s="2">
        <v>21</v>
      </c>
      <c r="M414" t="str" cm="1">
        <f t="array" ref="M414">_xlfn.IFS(L414&lt;=14,"Short",L414&lt;=30,"Medium",L414&lt;=45,"Long",L414&lt;=60,"Very Long")</f>
        <v>Medium</v>
      </c>
      <c r="N414" s="2" t="s">
        <v>13</v>
      </c>
      <c r="O414" s="3">
        <v>8</v>
      </c>
    </row>
    <row r="415" spans="1:15" x14ac:dyDescent="0.25">
      <c r="A415" s="4" t="s">
        <v>474</v>
      </c>
      <c r="B415" s="5">
        <v>53</v>
      </c>
      <c r="C415" t="str" cm="1">
        <f t="array" ref="C415">_xlfn.IFS(B415&lt;=30,"Young",B415&lt;=50,"Middle-aged",B415&gt;50,"Older")</f>
        <v>Older</v>
      </c>
      <c r="D415" s="5" t="s">
        <v>19</v>
      </c>
      <c r="E415" s="5" t="s">
        <v>11</v>
      </c>
      <c r="F415" s="5">
        <f t="shared" si="27"/>
        <v>0</v>
      </c>
      <c r="G415" s="5">
        <f t="shared" si="24"/>
        <v>0</v>
      </c>
      <c r="H415" s="5">
        <f t="shared" si="25"/>
        <v>0</v>
      </c>
      <c r="I415" s="5">
        <f t="shared" si="26"/>
        <v>0</v>
      </c>
      <c r="J415" s="5">
        <v>500</v>
      </c>
      <c r="K415" s="5" t="s">
        <v>84</v>
      </c>
      <c r="L415" s="5">
        <v>28</v>
      </c>
      <c r="M415" t="str" cm="1">
        <f t="array" ref="M415">_xlfn.IFS(L415&lt;=14,"Short",L415&lt;=30,"Medium",L415&lt;=45,"Long",L415&lt;=60,"Very Long")</f>
        <v>Medium</v>
      </c>
      <c r="N415" s="5" t="s">
        <v>93</v>
      </c>
      <c r="O415" s="6">
        <v>7.7</v>
      </c>
    </row>
    <row r="416" spans="1:15" x14ac:dyDescent="0.25">
      <c r="A416" s="1" t="s">
        <v>475</v>
      </c>
      <c r="B416" s="2">
        <v>50</v>
      </c>
      <c r="C416" t="str" cm="1">
        <f t="array" ref="C416">_xlfn.IFS(B416&lt;=30,"Young",B416&lt;=50,"Middle-aged",B416&gt;50,"Older")</f>
        <v>Middle-aged</v>
      </c>
      <c r="D416" s="2" t="s">
        <v>10</v>
      </c>
      <c r="E416" s="2" t="s">
        <v>33</v>
      </c>
      <c r="F416" s="2">
        <f t="shared" si="27"/>
        <v>0</v>
      </c>
      <c r="G416" s="2">
        <f t="shared" si="24"/>
        <v>0</v>
      </c>
      <c r="H416" s="2">
        <f t="shared" si="25"/>
        <v>0</v>
      </c>
      <c r="I416" s="2">
        <f t="shared" si="26"/>
        <v>1</v>
      </c>
      <c r="J416" s="2">
        <v>850</v>
      </c>
      <c r="K416" s="2" t="s">
        <v>49</v>
      </c>
      <c r="L416" s="2">
        <v>38</v>
      </c>
      <c r="M416" t="str" cm="1">
        <f t="array" ref="M416">_xlfn.IFS(L416&lt;=14,"Short",L416&lt;=30,"Medium",L416&lt;=45,"Long",L416&lt;=60,"Very Long")</f>
        <v>Long</v>
      </c>
      <c r="N416" s="2" t="s">
        <v>13</v>
      </c>
      <c r="O416" s="3">
        <v>4.4000000000000004</v>
      </c>
    </row>
    <row r="417" spans="1:15" x14ac:dyDescent="0.25">
      <c r="A417" s="4" t="s">
        <v>476</v>
      </c>
      <c r="B417" s="5">
        <v>21</v>
      </c>
      <c r="C417" t="str" cm="1">
        <f t="array" ref="C417">_xlfn.IFS(B417&lt;=30,"Young",B417&lt;=50,"Middle-aged",B417&gt;50,"Older")</f>
        <v>Young</v>
      </c>
      <c r="D417" s="5" t="s">
        <v>10</v>
      </c>
      <c r="E417" s="5" t="s">
        <v>33</v>
      </c>
      <c r="F417" s="5">
        <f t="shared" si="27"/>
        <v>0</v>
      </c>
      <c r="G417" s="5">
        <f t="shared" si="24"/>
        <v>0</v>
      </c>
      <c r="H417" s="5">
        <f t="shared" si="25"/>
        <v>0</v>
      </c>
      <c r="I417" s="5">
        <f t="shared" si="26"/>
        <v>1</v>
      </c>
      <c r="J417" s="5">
        <v>100</v>
      </c>
      <c r="K417" s="5" t="s">
        <v>49</v>
      </c>
      <c r="L417" s="5">
        <v>32</v>
      </c>
      <c r="M417" t="str" cm="1">
        <f t="array" ref="M417">_xlfn.IFS(L417&lt;=14,"Short",L417&lt;=30,"Medium",L417&lt;=45,"Long",L417&lt;=60,"Very Long")</f>
        <v>Long</v>
      </c>
      <c r="N417" s="5" t="s">
        <v>91</v>
      </c>
      <c r="O417" s="6">
        <v>6</v>
      </c>
    </row>
    <row r="418" spans="1:15" x14ac:dyDescent="0.25">
      <c r="A418" s="1" t="s">
        <v>477</v>
      </c>
      <c r="B418" s="2">
        <v>50</v>
      </c>
      <c r="C418" t="str" cm="1">
        <f t="array" ref="C418">_xlfn.IFS(B418&lt;=30,"Young",B418&lt;=50,"Middle-aged",B418&gt;50,"Older")</f>
        <v>Middle-aged</v>
      </c>
      <c r="D418" s="2" t="s">
        <v>10</v>
      </c>
      <c r="E418" s="2" t="s">
        <v>33</v>
      </c>
      <c r="F418" s="2">
        <f t="shared" si="27"/>
        <v>0</v>
      </c>
      <c r="G418" s="2">
        <f t="shared" si="24"/>
        <v>0</v>
      </c>
      <c r="H418" s="2">
        <f t="shared" si="25"/>
        <v>0</v>
      </c>
      <c r="I418" s="2">
        <f t="shared" si="26"/>
        <v>1</v>
      </c>
      <c r="J418" s="2">
        <v>100</v>
      </c>
      <c r="K418" s="2" t="s">
        <v>34</v>
      </c>
      <c r="L418" s="2">
        <v>47</v>
      </c>
      <c r="M418" t="str" cm="1">
        <f t="array" ref="M418">_xlfn.IFS(L418&lt;=14,"Short",L418&lt;=30,"Medium",L418&lt;=45,"Long",L418&lt;=60,"Very Long")</f>
        <v>Very Long</v>
      </c>
      <c r="N418" s="2" t="s">
        <v>35</v>
      </c>
      <c r="O418" s="3">
        <v>8.8000000000000007</v>
      </c>
    </row>
    <row r="419" spans="1:15" x14ac:dyDescent="0.25">
      <c r="A419" s="4" t="s">
        <v>478</v>
      </c>
      <c r="B419" s="5">
        <v>31</v>
      </c>
      <c r="C419" t="str" cm="1">
        <f t="array" ref="C419">_xlfn.IFS(B419&lt;=30,"Young",B419&lt;=50,"Middle-aged",B419&gt;50,"Older")</f>
        <v>Middle-aged</v>
      </c>
      <c r="D419" s="5" t="s">
        <v>19</v>
      </c>
      <c r="E419" s="5" t="s">
        <v>33</v>
      </c>
      <c r="F419" s="5">
        <f t="shared" si="27"/>
        <v>0</v>
      </c>
      <c r="G419" s="5">
        <f t="shared" si="24"/>
        <v>0</v>
      </c>
      <c r="H419" s="5">
        <f t="shared" si="25"/>
        <v>0</v>
      </c>
      <c r="I419" s="5">
        <f t="shared" si="26"/>
        <v>1</v>
      </c>
      <c r="J419" s="5">
        <v>100</v>
      </c>
      <c r="K419" s="5" t="s">
        <v>34</v>
      </c>
      <c r="L419" s="5">
        <v>45</v>
      </c>
      <c r="M419" t="str" cm="1">
        <f t="array" ref="M419">_xlfn.IFS(L419&lt;=14,"Short",L419&lt;=30,"Medium",L419&lt;=45,"Long",L419&lt;=60,"Very Long")</f>
        <v>Long</v>
      </c>
      <c r="N419" s="5" t="s">
        <v>95</v>
      </c>
      <c r="O419" s="6">
        <v>5.5</v>
      </c>
    </row>
    <row r="420" spans="1:15" x14ac:dyDescent="0.25">
      <c r="A420" s="1" t="s">
        <v>479</v>
      </c>
      <c r="B420" s="2">
        <v>38</v>
      </c>
      <c r="C420" t="str" cm="1">
        <f t="array" ref="C420">_xlfn.IFS(B420&lt;=30,"Young",B420&lt;=50,"Middle-aged",B420&gt;50,"Older")</f>
        <v>Middle-aged</v>
      </c>
      <c r="D420" s="2" t="s">
        <v>19</v>
      </c>
      <c r="E420" s="2" t="s">
        <v>33</v>
      </c>
      <c r="F420" s="2">
        <f t="shared" si="27"/>
        <v>0</v>
      </c>
      <c r="G420" s="2">
        <f t="shared" si="24"/>
        <v>0</v>
      </c>
      <c r="H420" s="2">
        <f t="shared" si="25"/>
        <v>0</v>
      </c>
      <c r="I420" s="2">
        <f t="shared" si="26"/>
        <v>1</v>
      </c>
      <c r="J420" s="2">
        <v>50</v>
      </c>
      <c r="K420" s="2" t="s">
        <v>34</v>
      </c>
      <c r="L420" s="2">
        <v>43</v>
      </c>
      <c r="M420" t="str" cm="1">
        <f t="array" ref="M420">_xlfn.IFS(L420&lt;=14,"Short",L420&lt;=30,"Medium",L420&lt;=45,"Long",L420&lt;=60,"Very Long")</f>
        <v>Long</v>
      </c>
      <c r="N420" s="2" t="s">
        <v>35</v>
      </c>
      <c r="O420" s="3">
        <v>6.3</v>
      </c>
    </row>
    <row r="421" spans="1:15" x14ac:dyDescent="0.25">
      <c r="A421" s="4" t="s">
        <v>480</v>
      </c>
      <c r="B421" s="5">
        <v>65</v>
      </c>
      <c r="C421" t="str" cm="1">
        <f t="array" ref="C421">_xlfn.IFS(B421&lt;=30,"Young",B421&lt;=50,"Middle-aged",B421&gt;50,"Older")</f>
        <v>Older</v>
      </c>
      <c r="D421" s="5" t="s">
        <v>19</v>
      </c>
      <c r="E421" s="5" t="s">
        <v>24</v>
      </c>
      <c r="F421" s="5">
        <f t="shared" si="27"/>
        <v>0</v>
      </c>
      <c r="G421" s="5">
        <f t="shared" si="24"/>
        <v>0</v>
      </c>
      <c r="H421" s="5">
        <f t="shared" si="25"/>
        <v>1</v>
      </c>
      <c r="I421" s="5">
        <f t="shared" si="26"/>
        <v>0</v>
      </c>
      <c r="J421" s="5">
        <v>850</v>
      </c>
      <c r="K421" s="5" t="s">
        <v>39</v>
      </c>
      <c r="L421" s="5">
        <v>26</v>
      </c>
      <c r="M421" t="str" cm="1">
        <f t="array" ref="M421">_xlfn.IFS(L421&lt;=14,"Short",L421&lt;=30,"Medium",L421&lt;=45,"Long",L421&lt;=60,"Very Long")</f>
        <v>Medium</v>
      </c>
      <c r="N421" s="5" t="s">
        <v>13</v>
      </c>
      <c r="O421" s="6">
        <v>7.7</v>
      </c>
    </row>
    <row r="422" spans="1:15" x14ac:dyDescent="0.25">
      <c r="A422" s="1" t="s">
        <v>481</v>
      </c>
      <c r="B422" s="2">
        <v>37</v>
      </c>
      <c r="C422" t="str" cm="1">
        <f t="array" ref="C422">_xlfn.IFS(B422&lt;=30,"Young",B422&lt;=50,"Middle-aged",B422&gt;50,"Older")</f>
        <v>Middle-aged</v>
      </c>
      <c r="D422" s="2" t="s">
        <v>10</v>
      </c>
      <c r="E422" s="2" t="s">
        <v>15</v>
      </c>
      <c r="F422" s="2">
        <f t="shared" si="27"/>
        <v>1</v>
      </c>
      <c r="G422" s="2">
        <f t="shared" si="24"/>
        <v>0</v>
      </c>
      <c r="H422" s="2">
        <f t="shared" si="25"/>
        <v>0</v>
      </c>
      <c r="I422" s="2">
        <f t="shared" si="26"/>
        <v>0</v>
      </c>
      <c r="J422" s="2">
        <v>850</v>
      </c>
      <c r="K422" s="2" t="s">
        <v>63</v>
      </c>
      <c r="L422" s="2">
        <v>53</v>
      </c>
      <c r="M422" t="str" cm="1">
        <f t="array" ref="M422">_xlfn.IFS(L422&lt;=14,"Short",L422&lt;=30,"Medium",L422&lt;=45,"Long",L422&lt;=60,"Very Long")</f>
        <v>Very Long</v>
      </c>
      <c r="N422" s="2" t="s">
        <v>64</v>
      </c>
      <c r="O422" s="3">
        <v>8.1999999999999993</v>
      </c>
    </row>
    <row r="423" spans="1:15" x14ac:dyDescent="0.25">
      <c r="A423" s="4" t="s">
        <v>482</v>
      </c>
      <c r="B423" s="5">
        <v>73</v>
      </c>
      <c r="C423" t="str" cm="1">
        <f t="array" ref="C423">_xlfn.IFS(B423&lt;=30,"Young",B423&lt;=50,"Middle-aged",B423&gt;50,"Older")</f>
        <v>Older</v>
      </c>
      <c r="D423" s="5" t="s">
        <v>10</v>
      </c>
      <c r="E423" s="5" t="s">
        <v>20</v>
      </c>
      <c r="F423" s="5">
        <f t="shared" si="27"/>
        <v>0</v>
      </c>
      <c r="G423" s="5">
        <f t="shared" si="24"/>
        <v>1</v>
      </c>
      <c r="H423" s="5">
        <f t="shared" si="25"/>
        <v>0</v>
      </c>
      <c r="I423" s="5">
        <f t="shared" si="26"/>
        <v>0</v>
      </c>
      <c r="J423" s="5">
        <v>500</v>
      </c>
      <c r="K423" s="5" t="s">
        <v>37</v>
      </c>
      <c r="L423" s="5">
        <v>21</v>
      </c>
      <c r="M423" t="str" cm="1">
        <f t="array" ref="M423">_xlfn.IFS(L423&lt;=14,"Short",L423&lt;=30,"Medium",L423&lt;=45,"Long",L423&lt;=60,"Very Long")</f>
        <v>Medium</v>
      </c>
      <c r="N423" s="5" t="s">
        <v>173</v>
      </c>
      <c r="O423" s="6">
        <v>6.6</v>
      </c>
    </row>
    <row r="424" spans="1:15" x14ac:dyDescent="0.25">
      <c r="A424" s="1" t="s">
        <v>483</v>
      </c>
      <c r="B424" s="2">
        <v>25</v>
      </c>
      <c r="C424" t="str" cm="1">
        <f t="array" ref="C424">_xlfn.IFS(B424&lt;=30,"Young",B424&lt;=50,"Middle-aged",B424&gt;50,"Older")</f>
        <v>Young</v>
      </c>
      <c r="D424" s="2" t="s">
        <v>10</v>
      </c>
      <c r="E424" s="2" t="s">
        <v>15</v>
      </c>
      <c r="F424" s="2">
        <f t="shared" si="27"/>
        <v>1</v>
      </c>
      <c r="G424" s="2">
        <f t="shared" si="24"/>
        <v>0</v>
      </c>
      <c r="H424" s="2">
        <f t="shared" si="25"/>
        <v>0</v>
      </c>
      <c r="I424" s="2">
        <f t="shared" si="26"/>
        <v>0</v>
      </c>
      <c r="J424" s="2">
        <v>50</v>
      </c>
      <c r="K424" s="2" t="s">
        <v>16</v>
      </c>
      <c r="L424" s="2">
        <v>38</v>
      </c>
      <c r="M424" t="str" cm="1">
        <f t="array" ref="M424">_xlfn.IFS(L424&lt;=14,"Short",L424&lt;=30,"Medium",L424&lt;=45,"Long",L424&lt;=60,"Very Long")</f>
        <v>Long</v>
      </c>
      <c r="N424" s="2" t="s">
        <v>17</v>
      </c>
      <c r="O424" s="3">
        <v>6.1</v>
      </c>
    </row>
    <row r="425" spans="1:15" x14ac:dyDescent="0.25">
      <c r="A425" s="4" t="s">
        <v>484</v>
      </c>
      <c r="B425" s="5">
        <v>24</v>
      </c>
      <c r="C425" t="str" cm="1">
        <f t="array" ref="C425">_xlfn.IFS(B425&lt;=30,"Young",B425&lt;=50,"Middle-aged",B425&gt;50,"Older")</f>
        <v>Young</v>
      </c>
      <c r="D425" s="5" t="s">
        <v>10</v>
      </c>
      <c r="E425" s="5" t="s">
        <v>33</v>
      </c>
      <c r="F425" s="5">
        <f t="shared" si="27"/>
        <v>0</v>
      </c>
      <c r="G425" s="5">
        <f t="shared" si="24"/>
        <v>0</v>
      </c>
      <c r="H425" s="5">
        <f t="shared" si="25"/>
        <v>0</v>
      </c>
      <c r="I425" s="5">
        <f t="shared" si="26"/>
        <v>1</v>
      </c>
      <c r="J425" s="5">
        <v>500</v>
      </c>
      <c r="K425" s="5" t="s">
        <v>34</v>
      </c>
      <c r="L425" s="5">
        <v>10</v>
      </c>
      <c r="M425" t="str" cm="1">
        <f t="array" ref="M425">_xlfn.IFS(L425&lt;=14,"Short",L425&lt;=30,"Medium",L425&lt;=45,"Long",L425&lt;=60,"Very Long")</f>
        <v>Short</v>
      </c>
      <c r="N425" s="5" t="s">
        <v>95</v>
      </c>
      <c r="O425" s="6">
        <v>9.1</v>
      </c>
    </row>
    <row r="426" spans="1:15" x14ac:dyDescent="0.25">
      <c r="A426" s="1" t="s">
        <v>485</v>
      </c>
      <c r="B426" s="2">
        <v>20</v>
      </c>
      <c r="C426" t="str" cm="1">
        <f t="array" ref="C426">_xlfn.IFS(B426&lt;=30,"Young",B426&lt;=50,"Middle-aged",B426&gt;50,"Older")</f>
        <v>Young</v>
      </c>
      <c r="D426" s="2" t="s">
        <v>10</v>
      </c>
      <c r="E426" s="2" t="s">
        <v>24</v>
      </c>
      <c r="F426" s="2">
        <f t="shared" si="27"/>
        <v>0</v>
      </c>
      <c r="G426" s="2">
        <f t="shared" si="24"/>
        <v>0</v>
      </c>
      <c r="H426" s="2">
        <f t="shared" si="25"/>
        <v>1</v>
      </c>
      <c r="I426" s="2">
        <f t="shared" si="26"/>
        <v>0</v>
      </c>
      <c r="J426" s="2">
        <v>50</v>
      </c>
      <c r="K426" s="2" t="s">
        <v>39</v>
      </c>
      <c r="L426" s="2">
        <v>50</v>
      </c>
      <c r="M426" t="str" cm="1">
        <f t="array" ref="M426">_xlfn.IFS(L426&lt;=14,"Short",L426&lt;=30,"Medium",L426&lt;=45,"Long",L426&lt;=60,"Very Long")</f>
        <v>Very Long</v>
      </c>
      <c r="N426" s="2" t="s">
        <v>13</v>
      </c>
      <c r="O426" s="3">
        <v>9.6</v>
      </c>
    </row>
    <row r="427" spans="1:15" x14ac:dyDescent="0.25">
      <c r="A427" s="4" t="s">
        <v>486</v>
      </c>
      <c r="B427" s="5">
        <v>34</v>
      </c>
      <c r="C427" t="str" cm="1">
        <f t="array" ref="C427">_xlfn.IFS(B427&lt;=30,"Young",B427&lt;=50,"Middle-aged",B427&gt;50,"Older")</f>
        <v>Middle-aged</v>
      </c>
      <c r="D427" s="5" t="s">
        <v>10</v>
      </c>
      <c r="E427" s="5" t="s">
        <v>11</v>
      </c>
      <c r="F427" s="5">
        <f t="shared" si="27"/>
        <v>0</v>
      </c>
      <c r="G427" s="5">
        <f t="shared" si="24"/>
        <v>0</v>
      </c>
      <c r="H427" s="5">
        <f t="shared" si="25"/>
        <v>0</v>
      </c>
      <c r="I427" s="5">
        <f t="shared" si="26"/>
        <v>0</v>
      </c>
      <c r="J427" s="5">
        <v>100</v>
      </c>
      <c r="K427" s="5" t="s">
        <v>12</v>
      </c>
      <c r="L427" s="5">
        <v>10</v>
      </c>
      <c r="M427" t="str" cm="1">
        <f t="array" ref="M427">_xlfn.IFS(L427&lt;=14,"Short",L427&lt;=30,"Medium",L427&lt;=45,"Long",L427&lt;=60,"Very Long")</f>
        <v>Short</v>
      </c>
      <c r="N427" s="5" t="s">
        <v>30</v>
      </c>
      <c r="O427" s="6">
        <v>8.5</v>
      </c>
    </row>
    <row r="428" spans="1:15" x14ac:dyDescent="0.25">
      <c r="A428" s="1" t="s">
        <v>487</v>
      </c>
      <c r="B428" s="2">
        <v>50</v>
      </c>
      <c r="C428" t="str" cm="1">
        <f t="array" ref="C428">_xlfn.IFS(B428&lt;=30,"Young",B428&lt;=50,"Middle-aged",B428&gt;50,"Older")</f>
        <v>Middle-aged</v>
      </c>
      <c r="D428" s="2" t="s">
        <v>19</v>
      </c>
      <c r="E428" s="2" t="s">
        <v>24</v>
      </c>
      <c r="F428" s="2">
        <f t="shared" si="27"/>
        <v>0</v>
      </c>
      <c r="G428" s="2">
        <f t="shared" si="24"/>
        <v>0</v>
      </c>
      <c r="H428" s="2">
        <f t="shared" si="25"/>
        <v>1</v>
      </c>
      <c r="I428" s="2">
        <f t="shared" si="26"/>
        <v>0</v>
      </c>
      <c r="J428" s="2">
        <v>250</v>
      </c>
      <c r="K428" s="2" t="s">
        <v>25</v>
      </c>
      <c r="L428" s="2">
        <v>38</v>
      </c>
      <c r="M428" t="str" cm="1">
        <f t="array" ref="M428">_xlfn.IFS(L428&lt;=14,"Short",L428&lt;=30,"Medium",L428&lt;=45,"Long",L428&lt;=60,"Very Long")</f>
        <v>Long</v>
      </c>
      <c r="N428" s="2" t="s">
        <v>13</v>
      </c>
      <c r="O428" s="3">
        <v>7.1</v>
      </c>
    </row>
    <row r="429" spans="1:15" x14ac:dyDescent="0.25">
      <c r="A429" s="4" t="s">
        <v>488</v>
      </c>
      <c r="B429" s="5">
        <v>65</v>
      </c>
      <c r="C429" t="str" cm="1">
        <f t="array" ref="C429">_xlfn.IFS(B429&lt;=30,"Young",B429&lt;=50,"Middle-aged",B429&gt;50,"Older")</f>
        <v>Older</v>
      </c>
      <c r="D429" s="5" t="s">
        <v>19</v>
      </c>
      <c r="E429" s="5" t="s">
        <v>33</v>
      </c>
      <c r="F429" s="5">
        <f t="shared" si="27"/>
        <v>0</v>
      </c>
      <c r="G429" s="5">
        <f t="shared" si="24"/>
        <v>0</v>
      </c>
      <c r="H429" s="5">
        <f t="shared" si="25"/>
        <v>0</v>
      </c>
      <c r="I429" s="5">
        <f t="shared" si="26"/>
        <v>1</v>
      </c>
      <c r="J429" s="5">
        <v>50</v>
      </c>
      <c r="K429" s="5" t="s">
        <v>34</v>
      </c>
      <c r="L429" s="5">
        <v>5</v>
      </c>
      <c r="M429" t="str" cm="1">
        <f t="array" ref="M429">_xlfn.IFS(L429&lt;=14,"Short",L429&lt;=30,"Medium",L429&lt;=45,"Long",L429&lt;=60,"Very Long")</f>
        <v>Short</v>
      </c>
      <c r="N429" s="5" t="s">
        <v>97</v>
      </c>
      <c r="O429" s="6">
        <v>5.8</v>
      </c>
    </row>
    <row r="430" spans="1:15" x14ac:dyDescent="0.25">
      <c r="A430" s="1" t="s">
        <v>489</v>
      </c>
      <c r="B430" s="2">
        <v>29</v>
      </c>
      <c r="C430" t="str" cm="1">
        <f t="array" ref="C430">_xlfn.IFS(B430&lt;=30,"Young",B430&lt;=50,"Middle-aged",B430&gt;50,"Older")</f>
        <v>Young</v>
      </c>
      <c r="D430" s="2" t="s">
        <v>19</v>
      </c>
      <c r="E430" s="2" t="s">
        <v>24</v>
      </c>
      <c r="F430" s="2">
        <f t="shared" si="27"/>
        <v>0</v>
      </c>
      <c r="G430" s="2">
        <f t="shared" si="24"/>
        <v>0</v>
      </c>
      <c r="H430" s="2">
        <f t="shared" si="25"/>
        <v>1</v>
      </c>
      <c r="I430" s="2">
        <f t="shared" si="26"/>
        <v>0</v>
      </c>
      <c r="J430" s="2">
        <v>50</v>
      </c>
      <c r="K430" s="2" t="s">
        <v>59</v>
      </c>
      <c r="L430" s="2">
        <v>14</v>
      </c>
      <c r="M430" t="str" cm="1">
        <f t="array" ref="M430">_xlfn.IFS(L430&lt;=14,"Short",L430&lt;=30,"Medium",L430&lt;=45,"Long",L430&lt;=60,"Very Long")</f>
        <v>Short</v>
      </c>
      <c r="N430" s="2" t="s">
        <v>150</v>
      </c>
      <c r="O430" s="3">
        <v>5.8</v>
      </c>
    </row>
    <row r="431" spans="1:15" x14ac:dyDescent="0.25">
      <c r="A431" s="4" t="s">
        <v>490</v>
      </c>
      <c r="B431" s="5">
        <v>76</v>
      </c>
      <c r="C431" t="str" cm="1">
        <f t="array" ref="C431">_xlfn.IFS(B431&lt;=30,"Young",B431&lt;=50,"Middle-aged",B431&gt;50,"Older")</f>
        <v>Older</v>
      </c>
      <c r="D431" s="5" t="s">
        <v>19</v>
      </c>
      <c r="E431" s="5" t="s">
        <v>24</v>
      </c>
      <c r="F431" s="5">
        <f t="shared" si="27"/>
        <v>0</v>
      </c>
      <c r="G431" s="5">
        <f t="shared" si="24"/>
        <v>0</v>
      </c>
      <c r="H431" s="5">
        <f t="shared" si="25"/>
        <v>1</v>
      </c>
      <c r="I431" s="5">
        <f t="shared" si="26"/>
        <v>0</v>
      </c>
      <c r="J431" s="5">
        <v>850</v>
      </c>
      <c r="K431" s="5" t="s">
        <v>59</v>
      </c>
      <c r="L431" s="5">
        <v>25</v>
      </c>
      <c r="M431" t="str" cm="1">
        <f t="array" ref="M431">_xlfn.IFS(L431&lt;=14,"Short",L431&lt;=30,"Medium",L431&lt;=45,"Long",L431&lt;=60,"Very Long")</f>
        <v>Medium</v>
      </c>
      <c r="N431" s="5" t="s">
        <v>74</v>
      </c>
      <c r="O431" s="6">
        <v>7.8</v>
      </c>
    </row>
    <row r="432" spans="1:15" x14ac:dyDescent="0.25">
      <c r="A432" s="1" t="s">
        <v>491</v>
      </c>
      <c r="B432" s="2">
        <v>68</v>
      </c>
      <c r="C432" t="str" cm="1">
        <f t="array" ref="C432">_xlfn.IFS(B432&lt;=30,"Young",B432&lt;=50,"Middle-aged",B432&gt;50,"Older")</f>
        <v>Older</v>
      </c>
      <c r="D432" s="2" t="s">
        <v>10</v>
      </c>
      <c r="E432" s="2" t="s">
        <v>33</v>
      </c>
      <c r="F432" s="2">
        <f t="shared" si="27"/>
        <v>0</v>
      </c>
      <c r="G432" s="2">
        <f t="shared" si="24"/>
        <v>0</v>
      </c>
      <c r="H432" s="2">
        <f t="shared" si="25"/>
        <v>0</v>
      </c>
      <c r="I432" s="2">
        <f t="shared" si="26"/>
        <v>1</v>
      </c>
      <c r="J432" s="2">
        <v>500</v>
      </c>
      <c r="K432" s="2" t="s">
        <v>47</v>
      </c>
      <c r="L432" s="2">
        <v>9</v>
      </c>
      <c r="M432" t="str" cm="1">
        <f t="array" ref="M432">_xlfn.IFS(L432&lt;=14,"Short",L432&lt;=30,"Medium",L432&lt;=45,"Long",L432&lt;=60,"Very Long")</f>
        <v>Short</v>
      </c>
      <c r="N432" s="2" t="s">
        <v>225</v>
      </c>
      <c r="O432" s="3">
        <v>7.6</v>
      </c>
    </row>
    <row r="433" spans="1:15" x14ac:dyDescent="0.25">
      <c r="A433" s="4" t="s">
        <v>492</v>
      </c>
      <c r="B433" s="5">
        <v>39</v>
      </c>
      <c r="C433" t="str" cm="1">
        <f t="array" ref="C433">_xlfn.IFS(B433&lt;=30,"Young",B433&lt;=50,"Middle-aged",B433&gt;50,"Older")</f>
        <v>Middle-aged</v>
      </c>
      <c r="D433" s="5" t="s">
        <v>10</v>
      </c>
      <c r="E433" s="5" t="s">
        <v>24</v>
      </c>
      <c r="F433" s="5">
        <f t="shared" si="27"/>
        <v>0</v>
      </c>
      <c r="G433" s="5">
        <f t="shared" si="24"/>
        <v>0</v>
      </c>
      <c r="H433" s="5">
        <f t="shared" si="25"/>
        <v>1</v>
      </c>
      <c r="I433" s="5">
        <f t="shared" si="26"/>
        <v>0</v>
      </c>
      <c r="J433" s="5">
        <v>850</v>
      </c>
      <c r="K433" s="5" t="s">
        <v>39</v>
      </c>
      <c r="L433" s="5">
        <v>6</v>
      </c>
      <c r="M433" t="str" cm="1">
        <f t="array" ref="M433">_xlfn.IFS(L433&lt;=14,"Short",L433&lt;=30,"Medium",L433&lt;=45,"Long",L433&lt;=60,"Very Long")</f>
        <v>Short</v>
      </c>
      <c r="N433" s="5" t="s">
        <v>85</v>
      </c>
      <c r="O433" s="6">
        <v>9.1</v>
      </c>
    </row>
    <row r="434" spans="1:15" x14ac:dyDescent="0.25">
      <c r="A434" s="1" t="s">
        <v>493</v>
      </c>
      <c r="B434" s="2">
        <v>72</v>
      </c>
      <c r="C434" t="str" cm="1">
        <f t="array" ref="C434">_xlfn.IFS(B434&lt;=30,"Young",B434&lt;=50,"Middle-aged",B434&gt;50,"Older")</f>
        <v>Older</v>
      </c>
      <c r="D434" s="2" t="s">
        <v>19</v>
      </c>
      <c r="E434" s="2" t="s">
        <v>20</v>
      </c>
      <c r="F434" s="2">
        <f t="shared" si="27"/>
        <v>0</v>
      </c>
      <c r="G434" s="2">
        <f t="shared" si="24"/>
        <v>1</v>
      </c>
      <c r="H434" s="2">
        <f t="shared" si="25"/>
        <v>0</v>
      </c>
      <c r="I434" s="2">
        <f t="shared" si="26"/>
        <v>0</v>
      </c>
      <c r="J434" s="2">
        <v>250</v>
      </c>
      <c r="K434" s="2" t="s">
        <v>37</v>
      </c>
      <c r="L434" s="2">
        <v>26</v>
      </c>
      <c r="M434" t="str" cm="1">
        <f t="array" ref="M434">_xlfn.IFS(L434&lt;=14,"Short",L434&lt;=30,"Medium",L434&lt;=45,"Long",L434&lt;=60,"Very Long")</f>
        <v>Medium</v>
      </c>
      <c r="N434" s="2" t="s">
        <v>13</v>
      </c>
      <c r="O434" s="3">
        <v>8</v>
      </c>
    </row>
    <row r="435" spans="1:15" x14ac:dyDescent="0.25">
      <c r="A435" s="4" t="s">
        <v>494</v>
      </c>
      <c r="B435" s="5">
        <v>39</v>
      </c>
      <c r="C435" t="str" cm="1">
        <f t="array" ref="C435">_xlfn.IFS(B435&lt;=30,"Young",B435&lt;=50,"Middle-aged",B435&gt;50,"Older")</f>
        <v>Middle-aged</v>
      </c>
      <c r="D435" s="5" t="s">
        <v>10</v>
      </c>
      <c r="E435" s="5" t="s">
        <v>20</v>
      </c>
      <c r="F435" s="5">
        <f t="shared" si="27"/>
        <v>0</v>
      </c>
      <c r="G435" s="5">
        <f t="shared" si="24"/>
        <v>1</v>
      </c>
      <c r="H435" s="5">
        <f t="shared" si="25"/>
        <v>0</v>
      </c>
      <c r="I435" s="5">
        <f t="shared" si="26"/>
        <v>0</v>
      </c>
      <c r="J435" s="5">
        <v>100</v>
      </c>
      <c r="K435" s="5" t="s">
        <v>37</v>
      </c>
      <c r="L435" s="5">
        <v>52</v>
      </c>
      <c r="M435" t="str" cm="1">
        <f t="array" ref="M435">_xlfn.IFS(L435&lt;=14,"Short",L435&lt;=30,"Medium",L435&lt;=45,"Long",L435&lt;=60,"Very Long")</f>
        <v>Very Long</v>
      </c>
      <c r="N435" s="5" t="s">
        <v>88</v>
      </c>
      <c r="O435" s="6">
        <v>4.7</v>
      </c>
    </row>
    <row r="436" spans="1:15" x14ac:dyDescent="0.25">
      <c r="A436" s="1" t="s">
        <v>495</v>
      </c>
      <c r="B436" s="2">
        <v>63</v>
      </c>
      <c r="C436" t="str" cm="1">
        <f t="array" ref="C436">_xlfn.IFS(B436&lt;=30,"Young",B436&lt;=50,"Middle-aged",B436&gt;50,"Older")</f>
        <v>Older</v>
      </c>
      <c r="D436" s="2" t="s">
        <v>19</v>
      </c>
      <c r="E436" s="2" t="s">
        <v>24</v>
      </c>
      <c r="F436" s="2">
        <f t="shared" si="27"/>
        <v>0</v>
      </c>
      <c r="G436" s="2">
        <f t="shared" si="24"/>
        <v>0</v>
      </c>
      <c r="H436" s="2">
        <f t="shared" si="25"/>
        <v>1</v>
      </c>
      <c r="I436" s="2">
        <f t="shared" si="26"/>
        <v>0</v>
      </c>
      <c r="J436" s="2">
        <v>850</v>
      </c>
      <c r="K436" s="2" t="s">
        <v>25</v>
      </c>
      <c r="L436" s="2">
        <v>6</v>
      </c>
      <c r="M436" t="str" cm="1">
        <f t="array" ref="M436">_xlfn.IFS(L436&lt;=14,"Short",L436&lt;=30,"Medium",L436&lt;=45,"Long",L436&lt;=60,"Very Long")</f>
        <v>Short</v>
      </c>
      <c r="N436" s="2" t="s">
        <v>26</v>
      </c>
      <c r="O436" s="3">
        <v>8.6</v>
      </c>
    </row>
    <row r="437" spans="1:15" x14ac:dyDescent="0.25">
      <c r="A437" s="4" t="s">
        <v>496</v>
      </c>
      <c r="B437" s="5">
        <v>47</v>
      </c>
      <c r="C437" t="str" cm="1">
        <f t="array" ref="C437">_xlfn.IFS(B437&lt;=30,"Young",B437&lt;=50,"Middle-aged",B437&gt;50,"Older")</f>
        <v>Middle-aged</v>
      </c>
      <c r="D437" s="5" t="s">
        <v>19</v>
      </c>
      <c r="E437" s="5" t="s">
        <v>11</v>
      </c>
      <c r="F437" s="5">
        <f t="shared" si="27"/>
        <v>0</v>
      </c>
      <c r="G437" s="5">
        <f t="shared" si="24"/>
        <v>0</v>
      </c>
      <c r="H437" s="5">
        <f t="shared" si="25"/>
        <v>0</v>
      </c>
      <c r="I437" s="5">
        <f t="shared" si="26"/>
        <v>0</v>
      </c>
      <c r="J437" s="5">
        <v>250</v>
      </c>
      <c r="K437" s="5" t="s">
        <v>12</v>
      </c>
      <c r="L437" s="5">
        <v>14</v>
      </c>
      <c r="M437" t="str" cm="1">
        <f t="array" ref="M437">_xlfn.IFS(L437&lt;=14,"Short",L437&lt;=30,"Medium",L437&lt;=45,"Long",L437&lt;=60,"Very Long")</f>
        <v>Short</v>
      </c>
      <c r="N437" s="5" t="s">
        <v>30</v>
      </c>
      <c r="O437" s="6">
        <v>5.5</v>
      </c>
    </row>
    <row r="438" spans="1:15" x14ac:dyDescent="0.25">
      <c r="A438" s="1" t="s">
        <v>497</v>
      </c>
      <c r="B438" s="2">
        <v>55</v>
      </c>
      <c r="C438" t="str" cm="1">
        <f t="array" ref="C438">_xlfn.IFS(B438&lt;=30,"Young",B438&lt;=50,"Middle-aged",B438&gt;50,"Older")</f>
        <v>Older</v>
      </c>
      <c r="D438" s="2" t="s">
        <v>19</v>
      </c>
      <c r="E438" s="2" t="s">
        <v>33</v>
      </c>
      <c r="F438" s="2">
        <f t="shared" si="27"/>
        <v>0</v>
      </c>
      <c r="G438" s="2">
        <f t="shared" si="24"/>
        <v>0</v>
      </c>
      <c r="H438" s="2">
        <f t="shared" si="25"/>
        <v>0</v>
      </c>
      <c r="I438" s="2">
        <f t="shared" si="26"/>
        <v>1</v>
      </c>
      <c r="J438" s="2">
        <v>100</v>
      </c>
      <c r="K438" s="2" t="s">
        <v>34</v>
      </c>
      <c r="L438" s="2">
        <v>38</v>
      </c>
      <c r="M438" t="str" cm="1">
        <f t="array" ref="M438">_xlfn.IFS(L438&lt;=14,"Short",L438&lt;=30,"Medium",L438&lt;=45,"Long",L438&lt;=60,"Very Long")</f>
        <v>Long</v>
      </c>
      <c r="N438" s="2" t="s">
        <v>97</v>
      </c>
      <c r="O438" s="3">
        <v>6.4</v>
      </c>
    </row>
    <row r="439" spans="1:15" x14ac:dyDescent="0.25">
      <c r="A439" s="4" t="s">
        <v>498</v>
      </c>
      <c r="B439" s="5">
        <v>55</v>
      </c>
      <c r="C439" t="str" cm="1">
        <f t="array" ref="C439">_xlfn.IFS(B439&lt;=30,"Young",B439&lt;=50,"Middle-aged",B439&gt;50,"Older")</f>
        <v>Older</v>
      </c>
      <c r="D439" s="5" t="s">
        <v>10</v>
      </c>
      <c r="E439" s="5" t="s">
        <v>20</v>
      </c>
      <c r="F439" s="5">
        <f t="shared" si="27"/>
        <v>0</v>
      </c>
      <c r="G439" s="5">
        <f t="shared" si="24"/>
        <v>1</v>
      </c>
      <c r="H439" s="5">
        <f t="shared" si="25"/>
        <v>0</v>
      </c>
      <c r="I439" s="5">
        <f t="shared" si="26"/>
        <v>0</v>
      </c>
      <c r="J439" s="5">
        <v>250</v>
      </c>
      <c r="K439" s="5" t="s">
        <v>37</v>
      </c>
      <c r="L439" s="5">
        <v>20</v>
      </c>
      <c r="M439" t="str" cm="1">
        <f t="array" ref="M439">_xlfn.IFS(L439&lt;=14,"Short",L439&lt;=30,"Medium",L439&lt;=45,"Long",L439&lt;=60,"Very Long")</f>
        <v>Medium</v>
      </c>
      <c r="N439" s="5" t="s">
        <v>88</v>
      </c>
      <c r="O439" s="6">
        <v>7.4</v>
      </c>
    </row>
    <row r="440" spans="1:15" x14ac:dyDescent="0.25">
      <c r="A440" s="1" t="s">
        <v>499</v>
      </c>
      <c r="B440" s="2">
        <v>62</v>
      </c>
      <c r="C440" t="str" cm="1">
        <f t="array" ref="C440">_xlfn.IFS(B440&lt;=30,"Young",B440&lt;=50,"Middle-aged",B440&gt;50,"Older")</f>
        <v>Older</v>
      </c>
      <c r="D440" s="2" t="s">
        <v>19</v>
      </c>
      <c r="E440" s="2" t="s">
        <v>11</v>
      </c>
      <c r="F440" s="2">
        <f t="shared" si="27"/>
        <v>0</v>
      </c>
      <c r="G440" s="2">
        <f t="shared" si="24"/>
        <v>0</v>
      </c>
      <c r="H440" s="2">
        <f t="shared" si="25"/>
        <v>0</v>
      </c>
      <c r="I440" s="2">
        <f t="shared" si="26"/>
        <v>0</v>
      </c>
      <c r="J440" s="2">
        <v>500</v>
      </c>
      <c r="K440" s="2" t="s">
        <v>51</v>
      </c>
      <c r="L440" s="2">
        <v>52</v>
      </c>
      <c r="M440" t="str" cm="1">
        <f t="array" ref="M440">_xlfn.IFS(L440&lt;=14,"Short",L440&lt;=30,"Medium",L440&lt;=45,"Long",L440&lt;=60,"Very Long")</f>
        <v>Very Long</v>
      </c>
      <c r="N440" s="2" t="s">
        <v>52</v>
      </c>
      <c r="O440" s="3">
        <v>10</v>
      </c>
    </row>
    <row r="441" spans="1:15" x14ac:dyDescent="0.25">
      <c r="A441" s="4" t="s">
        <v>500</v>
      </c>
      <c r="B441" s="5">
        <v>68</v>
      </c>
      <c r="C441" t="str" cm="1">
        <f t="array" ref="C441">_xlfn.IFS(B441&lt;=30,"Young",B441&lt;=50,"Middle-aged",B441&gt;50,"Older")</f>
        <v>Older</v>
      </c>
      <c r="D441" s="5" t="s">
        <v>19</v>
      </c>
      <c r="E441" s="5" t="s">
        <v>24</v>
      </c>
      <c r="F441" s="5">
        <f t="shared" si="27"/>
        <v>0</v>
      </c>
      <c r="G441" s="5">
        <f t="shared" si="24"/>
        <v>0</v>
      </c>
      <c r="H441" s="5">
        <f t="shared" si="25"/>
        <v>1</v>
      </c>
      <c r="I441" s="5">
        <f t="shared" si="26"/>
        <v>0</v>
      </c>
      <c r="J441" s="5">
        <v>100</v>
      </c>
      <c r="K441" s="5" t="s">
        <v>25</v>
      </c>
      <c r="L441" s="5">
        <v>55</v>
      </c>
      <c r="M441" t="str" cm="1">
        <f t="array" ref="M441">_xlfn.IFS(L441&lt;=14,"Short",L441&lt;=30,"Medium",L441&lt;=45,"Long",L441&lt;=60,"Very Long")</f>
        <v>Very Long</v>
      </c>
      <c r="N441" s="5" t="s">
        <v>70</v>
      </c>
      <c r="O441" s="6">
        <v>10</v>
      </c>
    </row>
    <row r="442" spans="1:15" x14ac:dyDescent="0.25">
      <c r="A442" s="1" t="s">
        <v>501</v>
      </c>
      <c r="B442" s="2">
        <v>71</v>
      </c>
      <c r="C442" t="str" cm="1">
        <f t="array" ref="C442">_xlfn.IFS(B442&lt;=30,"Young",B442&lt;=50,"Middle-aged",B442&gt;50,"Older")</f>
        <v>Older</v>
      </c>
      <c r="D442" s="2" t="s">
        <v>19</v>
      </c>
      <c r="E442" s="2" t="s">
        <v>11</v>
      </c>
      <c r="F442" s="2">
        <f t="shared" si="27"/>
        <v>0</v>
      </c>
      <c r="G442" s="2">
        <f t="shared" si="24"/>
        <v>0</v>
      </c>
      <c r="H442" s="2">
        <f t="shared" si="25"/>
        <v>0</v>
      </c>
      <c r="I442" s="2">
        <f t="shared" si="26"/>
        <v>0</v>
      </c>
      <c r="J442" s="2">
        <v>500</v>
      </c>
      <c r="K442" s="2" t="s">
        <v>84</v>
      </c>
      <c r="L442" s="2">
        <v>43</v>
      </c>
      <c r="M442" t="str" cm="1">
        <f t="array" ref="M442">_xlfn.IFS(L442&lt;=14,"Short",L442&lt;=30,"Medium",L442&lt;=45,"Long",L442&lt;=60,"Very Long")</f>
        <v>Long</v>
      </c>
      <c r="N442" s="2" t="s">
        <v>85</v>
      </c>
      <c r="O442" s="3">
        <v>7.9</v>
      </c>
    </row>
    <row r="443" spans="1:15" x14ac:dyDescent="0.25">
      <c r="A443" s="4" t="s">
        <v>502</v>
      </c>
      <c r="B443" s="5">
        <v>25</v>
      </c>
      <c r="C443" t="str" cm="1">
        <f t="array" ref="C443">_xlfn.IFS(B443&lt;=30,"Young",B443&lt;=50,"Middle-aged",B443&gt;50,"Older")</f>
        <v>Young</v>
      </c>
      <c r="D443" s="5" t="s">
        <v>10</v>
      </c>
      <c r="E443" s="5" t="s">
        <v>15</v>
      </c>
      <c r="F443" s="5">
        <f t="shared" si="27"/>
        <v>1</v>
      </c>
      <c r="G443" s="5">
        <f t="shared" si="24"/>
        <v>0</v>
      </c>
      <c r="H443" s="5">
        <f t="shared" si="25"/>
        <v>0</v>
      </c>
      <c r="I443" s="5">
        <f t="shared" si="26"/>
        <v>0</v>
      </c>
      <c r="J443" s="5">
        <v>250</v>
      </c>
      <c r="K443" s="5" t="s">
        <v>63</v>
      </c>
      <c r="L443" s="5">
        <v>26</v>
      </c>
      <c r="M443" t="str" cm="1">
        <f t="array" ref="M443">_xlfn.IFS(L443&lt;=14,"Short",L443&lt;=30,"Medium",L443&lt;=45,"Long",L443&lt;=60,"Very Long")</f>
        <v>Medium</v>
      </c>
      <c r="N443" s="5" t="s">
        <v>41</v>
      </c>
      <c r="O443" s="6">
        <v>6.7</v>
      </c>
    </row>
    <row r="444" spans="1:15" x14ac:dyDescent="0.25">
      <c r="A444" s="1" t="s">
        <v>503</v>
      </c>
      <c r="B444" s="2">
        <v>44</v>
      </c>
      <c r="C444" t="str" cm="1">
        <f t="array" ref="C444">_xlfn.IFS(B444&lt;=30,"Young",B444&lt;=50,"Middle-aged",B444&gt;50,"Older")</f>
        <v>Middle-aged</v>
      </c>
      <c r="D444" s="2" t="s">
        <v>10</v>
      </c>
      <c r="E444" s="2" t="s">
        <v>20</v>
      </c>
      <c r="F444" s="2">
        <f t="shared" si="27"/>
        <v>0</v>
      </c>
      <c r="G444" s="2">
        <f t="shared" si="24"/>
        <v>1</v>
      </c>
      <c r="H444" s="2">
        <f t="shared" si="25"/>
        <v>0</v>
      </c>
      <c r="I444" s="2">
        <f t="shared" si="26"/>
        <v>0</v>
      </c>
      <c r="J444" s="2">
        <v>100</v>
      </c>
      <c r="K444" s="2" t="s">
        <v>37</v>
      </c>
      <c r="L444" s="2">
        <v>16</v>
      </c>
      <c r="M444" t="str" cm="1">
        <f t="array" ref="M444">_xlfn.IFS(L444&lt;=14,"Short",L444&lt;=30,"Medium",L444&lt;=45,"Long",L444&lt;=60,"Very Long")</f>
        <v>Medium</v>
      </c>
      <c r="N444" s="2" t="s">
        <v>88</v>
      </c>
      <c r="O444" s="3">
        <v>7.8</v>
      </c>
    </row>
    <row r="445" spans="1:15" x14ac:dyDescent="0.25">
      <c r="A445" s="4" t="s">
        <v>504</v>
      </c>
      <c r="B445" s="5">
        <v>44</v>
      </c>
      <c r="C445" t="str" cm="1">
        <f t="array" ref="C445">_xlfn.IFS(B445&lt;=30,"Young",B445&lt;=50,"Middle-aged",B445&gt;50,"Older")</f>
        <v>Middle-aged</v>
      </c>
      <c r="D445" s="5" t="s">
        <v>19</v>
      </c>
      <c r="E445" s="5" t="s">
        <v>24</v>
      </c>
      <c r="F445" s="5">
        <f t="shared" si="27"/>
        <v>0</v>
      </c>
      <c r="G445" s="5">
        <f t="shared" si="24"/>
        <v>0</v>
      </c>
      <c r="H445" s="5">
        <f t="shared" si="25"/>
        <v>1</v>
      </c>
      <c r="I445" s="5">
        <f t="shared" si="26"/>
        <v>0</v>
      </c>
      <c r="J445" s="5">
        <v>250</v>
      </c>
      <c r="K445" s="5" t="s">
        <v>59</v>
      </c>
      <c r="L445" s="5">
        <v>28</v>
      </c>
      <c r="M445" t="str" cm="1">
        <f t="array" ref="M445">_xlfn.IFS(L445&lt;=14,"Short",L445&lt;=30,"Medium",L445&lt;=45,"Long",L445&lt;=60,"Very Long")</f>
        <v>Medium</v>
      </c>
      <c r="N445" s="5" t="s">
        <v>74</v>
      </c>
      <c r="O445" s="6">
        <v>8.3000000000000007</v>
      </c>
    </row>
    <row r="446" spans="1:15" x14ac:dyDescent="0.25">
      <c r="A446" s="1" t="s">
        <v>505</v>
      </c>
      <c r="B446" s="2">
        <v>51</v>
      </c>
      <c r="C446" t="str" cm="1">
        <f t="array" ref="C446">_xlfn.IFS(B446&lt;=30,"Young",B446&lt;=50,"Middle-aged",B446&gt;50,"Older")</f>
        <v>Older</v>
      </c>
      <c r="D446" s="2" t="s">
        <v>10</v>
      </c>
      <c r="E446" s="2" t="s">
        <v>33</v>
      </c>
      <c r="F446" s="2">
        <f t="shared" si="27"/>
        <v>0</v>
      </c>
      <c r="G446" s="2">
        <f t="shared" si="24"/>
        <v>0</v>
      </c>
      <c r="H446" s="2">
        <f t="shared" si="25"/>
        <v>0</v>
      </c>
      <c r="I446" s="2">
        <f t="shared" si="26"/>
        <v>1</v>
      </c>
      <c r="J446" s="2">
        <v>850</v>
      </c>
      <c r="K446" s="2" t="s">
        <v>49</v>
      </c>
      <c r="L446" s="2">
        <v>51</v>
      </c>
      <c r="M446" t="str" cm="1">
        <f t="array" ref="M446">_xlfn.IFS(L446&lt;=14,"Short",L446&lt;=30,"Medium",L446&lt;=45,"Long",L446&lt;=60,"Very Long")</f>
        <v>Very Long</v>
      </c>
      <c r="N446" s="2" t="s">
        <v>13</v>
      </c>
      <c r="O446" s="3">
        <v>6.5</v>
      </c>
    </row>
    <row r="447" spans="1:15" x14ac:dyDescent="0.25">
      <c r="A447" s="4" t="s">
        <v>506</v>
      </c>
      <c r="B447" s="5">
        <v>38</v>
      </c>
      <c r="C447" t="str" cm="1">
        <f t="array" ref="C447">_xlfn.IFS(B447&lt;=30,"Young",B447&lt;=50,"Middle-aged",B447&gt;50,"Older")</f>
        <v>Middle-aged</v>
      </c>
      <c r="D447" s="5" t="s">
        <v>10</v>
      </c>
      <c r="E447" s="5" t="s">
        <v>24</v>
      </c>
      <c r="F447" s="5">
        <f t="shared" si="27"/>
        <v>0</v>
      </c>
      <c r="G447" s="5">
        <f t="shared" si="24"/>
        <v>0</v>
      </c>
      <c r="H447" s="5">
        <f t="shared" si="25"/>
        <v>1</v>
      </c>
      <c r="I447" s="5">
        <f t="shared" si="26"/>
        <v>0</v>
      </c>
      <c r="J447" s="5">
        <v>250</v>
      </c>
      <c r="K447" s="5" t="s">
        <v>59</v>
      </c>
      <c r="L447" s="5">
        <v>44</v>
      </c>
      <c r="M447" t="str" cm="1">
        <f t="array" ref="M447">_xlfn.IFS(L447&lt;=14,"Short",L447&lt;=30,"Medium",L447&lt;=45,"Long",L447&lt;=60,"Very Long")</f>
        <v>Long</v>
      </c>
      <c r="N447" s="5" t="s">
        <v>60</v>
      </c>
      <c r="O447" s="6">
        <v>9.6999999999999993</v>
      </c>
    </row>
    <row r="448" spans="1:15" x14ac:dyDescent="0.25">
      <c r="A448" s="1" t="s">
        <v>507</v>
      </c>
      <c r="B448" s="2">
        <v>47</v>
      </c>
      <c r="C448" t="str" cm="1">
        <f t="array" ref="C448">_xlfn.IFS(B448&lt;=30,"Young",B448&lt;=50,"Middle-aged",B448&gt;50,"Older")</f>
        <v>Middle-aged</v>
      </c>
      <c r="D448" s="2" t="s">
        <v>10</v>
      </c>
      <c r="E448" s="2" t="s">
        <v>33</v>
      </c>
      <c r="F448" s="2">
        <f t="shared" si="27"/>
        <v>0</v>
      </c>
      <c r="G448" s="2">
        <f t="shared" si="24"/>
        <v>0</v>
      </c>
      <c r="H448" s="2">
        <f t="shared" si="25"/>
        <v>0</v>
      </c>
      <c r="I448" s="2">
        <f t="shared" si="26"/>
        <v>1</v>
      </c>
      <c r="J448" s="2">
        <v>50</v>
      </c>
      <c r="K448" s="2" t="s">
        <v>49</v>
      </c>
      <c r="L448" s="2">
        <v>42</v>
      </c>
      <c r="M448" t="str" cm="1">
        <f t="array" ref="M448">_xlfn.IFS(L448&lt;=14,"Short",L448&lt;=30,"Medium",L448&lt;=45,"Long",L448&lt;=60,"Very Long")</f>
        <v>Long</v>
      </c>
      <c r="N448" s="2" t="s">
        <v>91</v>
      </c>
      <c r="O448" s="3">
        <v>7.3</v>
      </c>
    </row>
    <row r="449" spans="1:15" x14ac:dyDescent="0.25">
      <c r="A449" s="4" t="s">
        <v>508</v>
      </c>
      <c r="B449" s="5">
        <v>50</v>
      </c>
      <c r="C449" t="str" cm="1">
        <f t="array" ref="C449">_xlfn.IFS(B449&lt;=30,"Young",B449&lt;=50,"Middle-aged",B449&gt;50,"Older")</f>
        <v>Middle-aged</v>
      </c>
      <c r="D449" s="5" t="s">
        <v>10</v>
      </c>
      <c r="E449" s="5" t="s">
        <v>24</v>
      </c>
      <c r="F449" s="5">
        <f t="shared" si="27"/>
        <v>0</v>
      </c>
      <c r="G449" s="5">
        <f t="shared" si="24"/>
        <v>0</v>
      </c>
      <c r="H449" s="5">
        <f t="shared" si="25"/>
        <v>1</v>
      </c>
      <c r="I449" s="5">
        <f t="shared" si="26"/>
        <v>0</v>
      </c>
      <c r="J449" s="5">
        <v>50</v>
      </c>
      <c r="K449" s="5" t="s">
        <v>59</v>
      </c>
      <c r="L449" s="5">
        <v>14</v>
      </c>
      <c r="M449" t="str" cm="1">
        <f t="array" ref="M449">_xlfn.IFS(L449&lt;=14,"Short",L449&lt;=30,"Medium",L449&lt;=45,"Long",L449&lt;=60,"Very Long")</f>
        <v>Short</v>
      </c>
      <c r="N449" s="5" t="s">
        <v>74</v>
      </c>
      <c r="O449" s="6">
        <v>7.7</v>
      </c>
    </row>
    <row r="450" spans="1:15" x14ac:dyDescent="0.25">
      <c r="A450" s="1" t="s">
        <v>509</v>
      </c>
      <c r="B450" s="2">
        <v>45</v>
      </c>
      <c r="C450" t="str" cm="1">
        <f t="array" ref="C450">_xlfn.IFS(B450&lt;=30,"Young",B450&lt;=50,"Middle-aged",B450&gt;50,"Older")</f>
        <v>Middle-aged</v>
      </c>
      <c r="D450" s="2" t="s">
        <v>10</v>
      </c>
      <c r="E450" s="2" t="s">
        <v>11</v>
      </c>
      <c r="F450" s="2">
        <f t="shared" si="27"/>
        <v>0</v>
      </c>
      <c r="G450" s="2">
        <f t="shared" ref="G450:G513" si="28">IF($E450="Depression",1,0)</f>
        <v>0</v>
      </c>
      <c r="H450" s="2">
        <f t="shared" ref="H450:H513" si="29">IF($E450="Diabetes",1,0)</f>
        <v>0</v>
      </c>
      <c r="I450" s="2">
        <f t="shared" ref="I450:I513" si="30">IF($E450="Pain relief",1,0)</f>
        <v>0</v>
      </c>
      <c r="J450" s="2">
        <v>50</v>
      </c>
      <c r="K450" s="2" t="s">
        <v>84</v>
      </c>
      <c r="L450" s="2">
        <v>39</v>
      </c>
      <c r="M450" t="str" cm="1">
        <f t="array" ref="M450">_xlfn.IFS(L450&lt;=14,"Short",L450&lt;=30,"Medium",L450&lt;=45,"Long",L450&lt;=60,"Very Long")</f>
        <v>Long</v>
      </c>
      <c r="N450" s="2" t="s">
        <v>93</v>
      </c>
      <c r="O450" s="3">
        <v>8</v>
      </c>
    </row>
    <row r="451" spans="1:15" x14ac:dyDescent="0.25">
      <c r="A451" s="4" t="s">
        <v>510</v>
      </c>
      <c r="B451" s="5">
        <v>64</v>
      </c>
      <c r="C451" t="str" cm="1">
        <f t="array" ref="C451">_xlfn.IFS(B451&lt;=30,"Young",B451&lt;=50,"Middle-aged",B451&gt;50,"Older")</f>
        <v>Older</v>
      </c>
      <c r="D451" s="5" t="s">
        <v>10</v>
      </c>
      <c r="E451" s="5" t="s">
        <v>11</v>
      </c>
      <c r="F451" s="5">
        <f t="shared" ref="F451:F514" si="31">IF($E451="Hypertension",1,0)</f>
        <v>0</v>
      </c>
      <c r="G451" s="5">
        <f t="shared" si="28"/>
        <v>0</v>
      </c>
      <c r="H451" s="5">
        <f t="shared" si="29"/>
        <v>0</v>
      </c>
      <c r="I451" s="5">
        <f t="shared" si="30"/>
        <v>0</v>
      </c>
      <c r="J451" s="5">
        <v>250</v>
      </c>
      <c r="K451" s="5" t="s">
        <v>84</v>
      </c>
      <c r="L451" s="5">
        <v>55</v>
      </c>
      <c r="M451" t="str" cm="1">
        <f t="array" ref="M451">_xlfn.IFS(L451&lt;=14,"Short",L451&lt;=30,"Medium",L451&lt;=45,"Long",L451&lt;=60,"Very Long")</f>
        <v>Very Long</v>
      </c>
      <c r="N451" s="5" t="s">
        <v>97</v>
      </c>
      <c r="O451" s="6">
        <v>7.6</v>
      </c>
    </row>
    <row r="452" spans="1:15" x14ac:dyDescent="0.25">
      <c r="A452" s="1" t="s">
        <v>511</v>
      </c>
      <c r="B452" s="2">
        <v>50</v>
      </c>
      <c r="C452" t="str" cm="1">
        <f t="array" ref="C452">_xlfn.IFS(B452&lt;=30,"Young",B452&lt;=50,"Middle-aged",B452&gt;50,"Older")</f>
        <v>Middle-aged</v>
      </c>
      <c r="D452" s="2" t="s">
        <v>10</v>
      </c>
      <c r="E452" s="2" t="s">
        <v>11</v>
      </c>
      <c r="F452" s="2">
        <f t="shared" si="31"/>
        <v>0</v>
      </c>
      <c r="G452" s="2">
        <f t="shared" si="28"/>
        <v>0</v>
      </c>
      <c r="H452" s="2">
        <f t="shared" si="29"/>
        <v>0</v>
      </c>
      <c r="I452" s="2">
        <f t="shared" si="30"/>
        <v>0</v>
      </c>
      <c r="J452" s="2">
        <v>250</v>
      </c>
      <c r="K452" s="2" t="s">
        <v>12</v>
      </c>
      <c r="L452" s="2">
        <v>53</v>
      </c>
      <c r="M452" t="str" cm="1">
        <f t="array" ref="M452">_xlfn.IFS(L452&lt;=14,"Short",L452&lt;=30,"Medium",L452&lt;=45,"Long",L452&lt;=60,"Very Long")</f>
        <v>Very Long</v>
      </c>
      <c r="N452" s="2" t="s">
        <v>30</v>
      </c>
      <c r="O452" s="3">
        <v>8.3000000000000007</v>
      </c>
    </row>
    <row r="453" spans="1:15" x14ac:dyDescent="0.25">
      <c r="A453" s="4" t="s">
        <v>512</v>
      </c>
      <c r="B453" s="5">
        <v>22</v>
      </c>
      <c r="C453" t="str" cm="1">
        <f t="array" ref="C453">_xlfn.IFS(B453&lt;=30,"Young",B453&lt;=50,"Middle-aged",B453&gt;50,"Older")</f>
        <v>Young</v>
      </c>
      <c r="D453" s="5" t="s">
        <v>10</v>
      </c>
      <c r="E453" s="5" t="s">
        <v>15</v>
      </c>
      <c r="F453" s="5">
        <f t="shared" si="31"/>
        <v>1</v>
      </c>
      <c r="G453" s="5">
        <f t="shared" si="28"/>
        <v>0</v>
      </c>
      <c r="H453" s="5">
        <f t="shared" si="29"/>
        <v>0</v>
      </c>
      <c r="I453" s="5">
        <f t="shared" si="30"/>
        <v>0</v>
      </c>
      <c r="J453" s="5">
        <v>50</v>
      </c>
      <c r="K453" s="5" t="s">
        <v>63</v>
      </c>
      <c r="L453" s="5">
        <v>36</v>
      </c>
      <c r="M453" t="str" cm="1">
        <f t="array" ref="M453">_xlfn.IFS(L453&lt;=14,"Short",L453&lt;=30,"Medium",L453&lt;=45,"Long",L453&lt;=60,"Very Long")</f>
        <v>Long</v>
      </c>
      <c r="N453" s="5" t="s">
        <v>41</v>
      </c>
      <c r="O453" s="6">
        <v>6.1</v>
      </c>
    </row>
    <row r="454" spans="1:15" x14ac:dyDescent="0.25">
      <c r="A454" s="1" t="s">
        <v>513</v>
      </c>
      <c r="B454" s="2">
        <v>77</v>
      </c>
      <c r="C454" t="str" cm="1">
        <f t="array" ref="C454">_xlfn.IFS(B454&lt;=30,"Young",B454&lt;=50,"Middle-aged",B454&gt;50,"Older")</f>
        <v>Older</v>
      </c>
      <c r="D454" s="2" t="s">
        <v>10</v>
      </c>
      <c r="E454" s="2" t="s">
        <v>33</v>
      </c>
      <c r="F454" s="2">
        <f t="shared" si="31"/>
        <v>0</v>
      </c>
      <c r="G454" s="2">
        <f t="shared" si="28"/>
        <v>0</v>
      </c>
      <c r="H454" s="2">
        <f t="shared" si="29"/>
        <v>0</v>
      </c>
      <c r="I454" s="2">
        <f t="shared" si="30"/>
        <v>1</v>
      </c>
      <c r="J454" s="2">
        <v>50</v>
      </c>
      <c r="K454" s="2" t="s">
        <v>34</v>
      </c>
      <c r="L454" s="2">
        <v>11</v>
      </c>
      <c r="M454" t="str" cm="1">
        <f t="array" ref="M454">_xlfn.IFS(L454&lt;=14,"Short",L454&lt;=30,"Medium",L454&lt;=45,"Long",L454&lt;=60,"Very Long")</f>
        <v>Short</v>
      </c>
      <c r="N454" s="2" t="s">
        <v>95</v>
      </c>
      <c r="O454" s="3">
        <v>6.2</v>
      </c>
    </row>
    <row r="455" spans="1:15" x14ac:dyDescent="0.25">
      <c r="A455" s="4" t="s">
        <v>514</v>
      </c>
      <c r="B455" s="5">
        <v>78</v>
      </c>
      <c r="C455" t="str" cm="1">
        <f t="array" ref="C455">_xlfn.IFS(B455&lt;=30,"Young",B455&lt;=50,"Middle-aged",B455&gt;50,"Older")</f>
        <v>Older</v>
      </c>
      <c r="D455" s="5" t="s">
        <v>10</v>
      </c>
      <c r="E455" s="5" t="s">
        <v>11</v>
      </c>
      <c r="F455" s="5">
        <f t="shared" si="31"/>
        <v>0</v>
      </c>
      <c r="G455" s="5">
        <f t="shared" si="28"/>
        <v>0</v>
      </c>
      <c r="H455" s="5">
        <f t="shared" si="29"/>
        <v>0</v>
      </c>
      <c r="I455" s="5">
        <f t="shared" si="30"/>
        <v>0</v>
      </c>
      <c r="J455" s="5">
        <v>250</v>
      </c>
      <c r="K455" s="5" t="s">
        <v>51</v>
      </c>
      <c r="L455" s="5">
        <v>25</v>
      </c>
      <c r="M455" t="str" cm="1">
        <f t="array" ref="M455">_xlfn.IFS(L455&lt;=14,"Short",L455&lt;=30,"Medium",L455&lt;=45,"Long",L455&lt;=60,"Very Long")</f>
        <v>Medium</v>
      </c>
      <c r="N455" s="5" t="s">
        <v>41</v>
      </c>
      <c r="O455" s="6">
        <v>5.3</v>
      </c>
    </row>
    <row r="456" spans="1:15" x14ac:dyDescent="0.25">
      <c r="A456" s="1" t="s">
        <v>515</v>
      </c>
      <c r="B456" s="2">
        <v>65</v>
      </c>
      <c r="C456" t="str" cm="1">
        <f t="array" ref="C456">_xlfn.IFS(B456&lt;=30,"Young",B456&lt;=50,"Middle-aged",B456&gt;50,"Older")</f>
        <v>Older</v>
      </c>
      <c r="D456" s="2" t="s">
        <v>19</v>
      </c>
      <c r="E456" s="2" t="s">
        <v>15</v>
      </c>
      <c r="F456" s="2">
        <f t="shared" si="31"/>
        <v>1</v>
      </c>
      <c r="G456" s="2">
        <f t="shared" si="28"/>
        <v>0</v>
      </c>
      <c r="H456" s="2">
        <f t="shared" si="29"/>
        <v>0</v>
      </c>
      <c r="I456" s="2">
        <f t="shared" si="30"/>
        <v>0</v>
      </c>
      <c r="J456" s="2">
        <v>500</v>
      </c>
      <c r="K456" s="2" t="s">
        <v>44</v>
      </c>
      <c r="L456" s="2">
        <v>24</v>
      </c>
      <c r="M456" t="str" cm="1">
        <f t="array" ref="M456">_xlfn.IFS(L456&lt;=14,"Short",L456&lt;=30,"Medium",L456&lt;=45,"Long",L456&lt;=60,"Very Long")</f>
        <v>Medium</v>
      </c>
      <c r="N456" s="2" t="s">
        <v>101</v>
      </c>
      <c r="O456" s="3">
        <v>7.7</v>
      </c>
    </row>
    <row r="457" spans="1:15" x14ac:dyDescent="0.25">
      <c r="A457" s="4" t="s">
        <v>516</v>
      </c>
      <c r="B457" s="5">
        <v>36</v>
      </c>
      <c r="C457" t="str" cm="1">
        <f t="array" ref="C457">_xlfn.IFS(B457&lt;=30,"Young",B457&lt;=50,"Middle-aged",B457&gt;50,"Older")</f>
        <v>Middle-aged</v>
      </c>
      <c r="D457" s="5" t="s">
        <v>19</v>
      </c>
      <c r="E457" s="5" t="s">
        <v>33</v>
      </c>
      <c r="F457" s="5">
        <f t="shared" si="31"/>
        <v>0</v>
      </c>
      <c r="G457" s="5">
        <f t="shared" si="28"/>
        <v>0</v>
      </c>
      <c r="H457" s="5">
        <f t="shared" si="29"/>
        <v>0</v>
      </c>
      <c r="I457" s="5">
        <f t="shared" si="30"/>
        <v>1</v>
      </c>
      <c r="J457" s="5">
        <v>850</v>
      </c>
      <c r="K457" s="5" t="s">
        <v>47</v>
      </c>
      <c r="L457" s="5">
        <v>30</v>
      </c>
      <c r="M457" t="str" cm="1">
        <f t="array" ref="M457">_xlfn.IFS(L457&lt;=14,"Short",L457&lt;=30,"Medium",L457&lt;=45,"Long",L457&lt;=60,"Very Long")</f>
        <v>Medium</v>
      </c>
      <c r="N457" s="5" t="s">
        <v>13</v>
      </c>
      <c r="O457" s="6">
        <v>8.1999999999999993</v>
      </c>
    </row>
    <row r="458" spans="1:15" x14ac:dyDescent="0.25">
      <c r="A458" s="1" t="s">
        <v>517</v>
      </c>
      <c r="B458" s="2">
        <v>21</v>
      </c>
      <c r="C458" t="str" cm="1">
        <f t="array" ref="C458">_xlfn.IFS(B458&lt;=30,"Young",B458&lt;=50,"Middle-aged",B458&gt;50,"Older")</f>
        <v>Young</v>
      </c>
      <c r="D458" s="2" t="s">
        <v>10</v>
      </c>
      <c r="E458" s="2" t="s">
        <v>24</v>
      </c>
      <c r="F458" s="2">
        <f t="shared" si="31"/>
        <v>0</v>
      </c>
      <c r="G458" s="2">
        <f t="shared" si="28"/>
        <v>0</v>
      </c>
      <c r="H458" s="2">
        <f t="shared" si="29"/>
        <v>1</v>
      </c>
      <c r="I458" s="2">
        <f t="shared" si="30"/>
        <v>0</v>
      </c>
      <c r="J458" s="2">
        <v>850</v>
      </c>
      <c r="K458" s="2" t="s">
        <v>59</v>
      </c>
      <c r="L458" s="2">
        <v>8</v>
      </c>
      <c r="M458" t="str" cm="1">
        <f t="array" ref="M458">_xlfn.IFS(L458&lt;=14,"Short",L458&lt;=30,"Medium",L458&lt;=45,"Long",L458&lt;=60,"Very Long")</f>
        <v>Short</v>
      </c>
      <c r="N458" s="2" t="s">
        <v>74</v>
      </c>
      <c r="O458" s="3">
        <v>7.7</v>
      </c>
    </row>
    <row r="459" spans="1:15" x14ac:dyDescent="0.25">
      <c r="A459" s="4" t="s">
        <v>518</v>
      </c>
      <c r="B459" s="5">
        <v>52</v>
      </c>
      <c r="C459" t="str" cm="1">
        <f t="array" ref="C459">_xlfn.IFS(B459&lt;=30,"Young",B459&lt;=50,"Middle-aged",B459&gt;50,"Older")</f>
        <v>Older</v>
      </c>
      <c r="D459" s="5" t="s">
        <v>19</v>
      </c>
      <c r="E459" s="5" t="s">
        <v>15</v>
      </c>
      <c r="F459" s="5">
        <f t="shared" si="31"/>
        <v>1</v>
      </c>
      <c r="G459" s="5">
        <f t="shared" si="28"/>
        <v>0</v>
      </c>
      <c r="H459" s="5">
        <f t="shared" si="29"/>
        <v>0</v>
      </c>
      <c r="I459" s="5">
        <f t="shared" si="30"/>
        <v>0</v>
      </c>
      <c r="J459" s="5">
        <v>250</v>
      </c>
      <c r="K459" s="5" t="s">
        <v>44</v>
      </c>
      <c r="L459" s="5">
        <v>50</v>
      </c>
      <c r="M459" t="str" cm="1">
        <f t="array" ref="M459">_xlfn.IFS(L459&lt;=14,"Short",L459&lt;=30,"Medium",L459&lt;=45,"Long",L459&lt;=60,"Very Long")</f>
        <v>Very Long</v>
      </c>
      <c r="N459" s="5" t="s">
        <v>95</v>
      </c>
      <c r="O459" s="6">
        <v>9.5</v>
      </c>
    </row>
    <row r="460" spans="1:15" x14ac:dyDescent="0.25">
      <c r="A460" s="1" t="s">
        <v>519</v>
      </c>
      <c r="B460" s="2">
        <v>66</v>
      </c>
      <c r="C460" t="str" cm="1">
        <f t="array" ref="C460">_xlfn.IFS(B460&lt;=30,"Young",B460&lt;=50,"Middle-aged",B460&gt;50,"Older")</f>
        <v>Older</v>
      </c>
      <c r="D460" s="2" t="s">
        <v>19</v>
      </c>
      <c r="E460" s="2" t="s">
        <v>20</v>
      </c>
      <c r="F460" s="2">
        <f t="shared" si="31"/>
        <v>0</v>
      </c>
      <c r="G460" s="2">
        <f t="shared" si="28"/>
        <v>1</v>
      </c>
      <c r="H460" s="2">
        <f t="shared" si="29"/>
        <v>0</v>
      </c>
      <c r="I460" s="2">
        <f t="shared" si="30"/>
        <v>0</v>
      </c>
      <c r="J460" s="2">
        <v>850</v>
      </c>
      <c r="K460" s="2" t="s">
        <v>37</v>
      </c>
      <c r="L460" s="2">
        <v>56</v>
      </c>
      <c r="M460" t="str" cm="1">
        <f t="array" ref="M460">_xlfn.IFS(L460&lt;=14,"Short",L460&lt;=30,"Medium",L460&lt;=45,"Long",L460&lt;=60,"Very Long")</f>
        <v>Very Long</v>
      </c>
      <c r="N460" s="2" t="s">
        <v>173</v>
      </c>
      <c r="O460" s="3">
        <v>7</v>
      </c>
    </row>
    <row r="461" spans="1:15" x14ac:dyDescent="0.25">
      <c r="A461" s="4" t="s">
        <v>520</v>
      </c>
      <c r="B461" s="5">
        <v>34</v>
      </c>
      <c r="C461" t="str" cm="1">
        <f t="array" ref="C461">_xlfn.IFS(B461&lt;=30,"Young",B461&lt;=50,"Middle-aged",B461&gt;50,"Older")</f>
        <v>Middle-aged</v>
      </c>
      <c r="D461" s="5" t="s">
        <v>10</v>
      </c>
      <c r="E461" s="5" t="s">
        <v>15</v>
      </c>
      <c r="F461" s="5">
        <f t="shared" si="31"/>
        <v>1</v>
      </c>
      <c r="G461" s="5">
        <f t="shared" si="28"/>
        <v>0</v>
      </c>
      <c r="H461" s="5">
        <f t="shared" si="29"/>
        <v>0</v>
      </c>
      <c r="I461" s="5">
        <f t="shared" si="30"/>
        <v>0</v>
      </c>
      <c r="J461" s="5">
        <v>500</v>
      </c>
      <c r="K461" s="5" t="s">
        <v>63</v>
      </c>
      <c r="L461" s="5">
        <v>26</v>
      </c>
      <c r="M461" t="str" cm="1">
        <f t="array" ref="M461">_xlfn.IFS(L461&lt;=14,"Short",L461&lt;=30,"Medium",L461&lt;=45,"Long",L461&lt;=60,"Very Long")</f>
        <v>Medium</v>
      </c>
      <c r="N461" s="5" t="s">
        <v>110</v>
      </c>
      <c r="O461" s="6">
        <v>8</v>
      </c>
    </row>
    <row r="462" spans="1:15" x14ac:dyDescent="0.25">
      <c r="A462" s="1" t="s">
        <v>521</v>
      </c>
      <c r="B462" s="2">
        <v>61</v>
      </c>
      <c r="C462" t="str" cm="1">
        <f t="array" ref="C462">_xlfn.IFS(B462&lt;=30,"Young",B462&lt;=50,"Middle-aged",B462&gt;50,"Older")</f>
        <v>Older</v>
      </c>
      <c r="D462" s="2" t="s">
        <v>10</v>
      </c>
      <c r="E462" s="2" t="s">
        <v>15</v>
      </c>
      <c r="F462" s="2">
        <f t="shared" si="31"/>
        <v>1</v>
      </c>
      <c r="G462" s="2">
        <f t="shared" si="28"/>
        <v>0</v>
      </c>
      <c r="H462" s="2">
        <f t="shared" si="29"/>
        <v>0</v>
      </c>
      <c r="I462" s="2">
        <f t="shared" si="30"/>
        <v>0</v>
      </c>
      <c r="J462" s="2">
        <v>50</v>
      </c>
      <c r="K462" s="2" t="s">
        <v>44</v>
      </c>
      <c r="L462" s="2">
        <v>19</v>
      </c>
      <c r="M462" t="str" cm="1">
        <f t="array" ref="M462">_xlfn.IFS(L462&lt;=14,"Short",L462&lt;=30,"Medium",L462&lt;=45,"Long",L462&lt;=60,"Very Long")</f>
        <v>Medium</v>
      </c>
      <c r="N462" s="2" t="s">
        <v>101</v>
      </c>
      <c r="O462" s="3">
        <v>5.4</v>
      </c>
    </row>
    <row r="463" spans="1:15" x14ac:dyDescent="0.25">
      <c r="A463" s="4" t="s">
        <v>522</v>
      </c>
      <c r="B463" s="5">
        <v>45</v>
      </c>
      <c r="C463" t="str" cm="1">
        <f t="array" ref="C463">_xlfn.IFS(B463&lt;=30,"Young",B463&lt;=50,"Middle-aged",B463&gt;50,"Older")</f>
        <v>Middle-aged</v>
      </c>
      <c r="D463" s="5" t="s">
        <v>10</v>
      </c>
      <c r="E463" s="5" t="s">
        <v>33</v>
      </c>
      <c r="F463" s="5">
        <f t="shared" si="31"/>
        <v>0</v>
      </c>
      <c r="G463" s="5">
        <f t="shared" si="28"/>
        <v>0</v>
      </c>
      <c r="H463" s="5">
        <f t="shared" si="29"/>
        <v>0</v>
      </c>
      <c r="I463" s="5">
        <f t="shared" si="30"/>
        <v>1</v>
      </c>
      <c r="J463" s="5">
        <v>50</v>
      </c>
      <c r="K463" s="5" t="s">
        <v>49</v>
      </c>
      <c r="L463" s="5">
        <v>44</v>
      </c>
      <c r="M463" t="str" cm="1">
        <f t="array" ref="M463">_xlfn.IFS(L463&lt;=14,"Short",L463&lt;=30,"Medium",L463&lt;=45,"Long",L463&lt;=60,"Very Long")</f>
        <v>Long</v>
      </c>
      <c r="N463" s="5" t="s">
        <v>30</v>
      </c>
      <c r="O463" s="6">
        <v>6.4</v>
      </c>
    </row>
    <row r="464" spans="1:15" x14ac:dyDescent="0.25">
      <c r="A464" s="1" t="s">
        <v>523</v>
      </c>
      <c r="B464" s="2">
        <v>47</v>
      </c>
      <c r="C464" t="str" cm="1">
        <f t="array" ref="C464">_xlfn.IFS(B464&lt;=30,"Young",B464&lt;=50,"Middle-aged",B464&gt;50,"Older")</f>
        <v>Middle-aged</v>
      </c>
      <c r="D464" s="2" t="s">
        <v>19</v>
      </c>
      <c r="E464" s="2" t="s">
        <v>24</v>
      </c>
      <c r="F464" s="2">
        <f t="shared" si="31"/>
        <v>0</v>
      </c>
      <c r="G464" s="2">
        <f t="shared" si="28"/>
        <v>0</v>
      </c>
      <c r="H464" s="2">
        <f t="shared" si="29"/>
        <v>1</v>
      </c>
      <c r="I464" s="2">
        <f t="shared" si="30"/>
        <v>0</v>
      </c>
      <c r="J464" s="2">
        <v>100</v>
      </c>
      <c r="K464" s="2" t="s">
        <v>25</v>
      </c>
      <c r="L464" s="2">
        <v>25</v>
      </c>
      <c r="M464" t="str" cm="1">
        <f t="array" ref="M464">_xlfn.IFS(L464&lt;=14,"Short",L464&lt;=30,"Medium",L464&lt;=45,"Long",L464&lt;=60,"Very Long")</f>
        <v>Medium</v>
      </c>
      <c r="N464" s="2" t="s">
        <v>13</v>
      </c>
      <c r="O464" s="3">
        <v>8</v>
      </c>
    </row>
    <row r="465" spans="1:15" x14ac:dyDescent="0.25">
      <c r="A465" s="4" t="s">
        <v>524</v>
      </c>
      <c r="B465" s="5">
        <v>46</v>
      </c>
      <c r="C465" t="str" cm="1">
        <f t="array" ref="C465">_xlfn.IFS(B465&lt;=30,"Young",B465&lt;=50,"Middle-aged",B465&gt;50,"Older")</f>
        <v>Middle-aged</v>
      </c>
      <c r="D465" s="5" t="s">
        <v>19</v>
      </c>
      <c r="E465" s="5" t="s">
        <v>20</v>
      </c>
      <c r="F465" s="5">
        <f t="shared" si="31"/>
        <v>0</v>
      </c>
      <c r="G465" s="5">
        <f t="shared" si="28"/>
        <v>1</v>
      </c>
      <c r="H465" s="5">
        <f t="shared" si="29"/>
        <v>0</v>
      </c>
      <c r="I465" s="5">
        <f t="shared" si="30"/>
        <v>0</v>
      </c>
      <c r="J465" s="5">
        <v>850</v>
      </c>
      <c r="K465" s="5" t="s">
        <v>37</v>
      </c>
      <c r="L465" s="5">
        <v>19</v>
      </c>
      <c r="M465" t="str" cm="1">
        <f t="array" ref="M465">_xlfn.IFS(L465&lt;=14,"Short",L465&lt;=30,"Medium",L465&lt;=45,"Long",L465&lt;=60,"Very Long")</f>
        <v>Medium</v>
      </c>
      <c r="N465" s="5" t="s">
        <v>13</v>
      </c>
      <c r="O465" s="6">
        <v>8.3000000000000007</v>
      </c>
    </row>
    <row r="466" spans="1:15" x14ac:dyDescent="0.25">
      <c r="A466" s="1" t="s">
        <v>525</v>
      </c>
      <c r="B466" s="2">
        <v>63</v>
      </c>
      <c r="C466" t="str" cm="1">
        <f t="array" ref="C466">_xlfn.IFS(B466&lt;=30,"Young",B466&lt;=50,"Middle-aged",B466&gt;50,"Older")</f>
        <v>Older</v>
      </c>
      <c r="D466" s="2" t="s">
        <v>10</v>
      </c>
      <c r="E466" s="2" t="s">
        <v>11</v>
      </c>
      <c r="F466" s="2">
        <f t="shared" si="31"/>
        <v>0</v>
      </c>
      <c r="G466" s="2">
        <f t="shared" si="28"/>
        <v>0</v>
      </c>
      <c r="H466" s="2">
        <f t="shared" si="29"/>
        <v>0</v>
      </c>
      <c r="I466" s="2">
        <f t="shared" si="30"/>
        <v>0</v>
      </c>
      <c r="J466" s="2">
        <v>500</v>
      </c>
      <c r="K466" s="2" t="s">
        <v>84</v>
      </c>
      <c r="L466" s="2">
        <v>26</v>
      </c>
      <c r="M466" t="str" cm="1">
        <f t="array" ref="M466">_xlfn.IFS(L466&lt;=14,"Short",L466&lt;=30,"Medium",L466&lt;=45,"Long",L466&lt;=60,"Very Long")</f>
        <v>Medium</v>
      </c>
      <c r="N466" s="2" t="s">
        <v>93</v>
      </c>
      <c r="O466" s="3">
        <v>6.6</v>
      </c>
    </row>
    <row r="467" spans="1:15" x14ac:dyDescent="0.25">
      <c r="A467" s="4" t="s">
        <v>526</v>
      </c>
      <c r="B467" s="5">
        <v>70</v>
      </c>
      <c r="C467" t="str" cm="1">
        <f t="array" ref="C467">_xlfn.IFS(B467&lt;=30,"Young",B467&lt;=50,"Middle-aged",B467&gt;50,"Older")</f>
        <v>Older</v>
      </c>
      <c r="D467" s="5" t="s">
        <v>10</v>
      </c>
      <c r="E467" s="5" t="s">
        <v>11</v>
      </c>
      <c r="F467" s="5">
        <f t="shared" si="31"/>
        <v>0</v>
      </c>
      <c r="G467" s="5">
        <f t="shared" si="28"/>
        <v>0</v>
      </c>
      <c r="H467" s="5">
        <f t="shared" si="29"/>
        <v>0</v>
      </c>
      <c r="I467" s="5">
        <f t="shared" si="30"/>
        <v>0</v>
      </c>
      <c r="J467" s="5">
        <v>500</v>
      </c>
      <c r="K467" s="5" t="s">
        <v>84</v>
      </c>
      <c r="L467" s="5">
        <v>56</v>
      </c>
      <c r="M467" t="str" cm="1">
        <f t="array" ref="M467">_xlfn.IFS(L467&lt;=14,"Short",L467&lt;=30,"Medium",L467&lt;=45,"Long",L467&lt;=60,"Very Long")</f>
        <v>Very Long</v>
      </c>
      <c r="N467" s="5" t="s">
        <v>97</v>
      </c>
      <c r="O467" s="6">
        <v>6.9</v>
      </c>
    </row>
    <row r="468" spans="1:15" x14ac:dyDescent="0.25">
      <c r="A468" s="1" t="s">
        <v>527</v>
      </c>
      <c r="B468" s="2">
        <v>23</v>
      </c>
      <c r="C468" t="str" cm="1">
        <f t="array" ref="C468">_xlfn.IFS(B468&lt;=30,"Young",B468&lt;=50,"Middle-aged",B468&gt;50,"Older")</f>
        <v>Young</v>
      </c>
      <c r="D468" s="2" t="s">
        <v>10</v>
      </c>
      <c r="E468" s="2" t="s">
        <v>15</v>
      </c>
      <c r="F468" s="2">
        <f t="shared" si="31"/>
        <v>1</v>
      </c>
      <c r="G468" s="2">
        <f t="shared" si="28"/>
        <v>0</v>
      </c>
      <c r="H468" s="2">
        <f t="shared" si="29"/>
        <v>0</v>
      </c>
      <c r="I468" s="2">
        <f t="shared" si="30"/>
        <v>0</v>
      </c>
      <c r="J468" s="2">
        <v>100</v>
      </c>
      <c r="K468" s="2" t="s">
        <v>16</v>
      </c>
      <c r="L468" s="2">
        <v>32</v>
      </c>
      <c r="M468" t="str" cm="1">
        <f t="array" ref="M468">_xlfn.IFS(L468&lt;=14,"Short",L468&lt;=30,"Medium",L468&lt;=45,"Long",L468&lt;=60,"Very Long")</f>
        <v>Long</v>
      </c>
      <c r="N468" s="2" t="s">
        <v>30</v>
      </c>
      <c r="O468" s="3">
        <v>4.7</v>
      </c>
    </row>
    <row r="469" spans="1:15" x14ac:dyDescent="0.25">
      <c r="A469" s="4" t="s">
        <v>528</v>
      </c>
      <c r="B469" s="5">
        <v>52</v>
      </c>
      <c r="C469" t="str" cm="1">
        <f t="array" ref="C469">_xlfn.IFS(B469&lt;=30,"Young",B469&lt;=50,"Middle-aged",B469&gt;50,"Older")</f>
        <v>Older</v>
      </c>
      <c r="D469" s="5" t="s">
        <v>19</v>
      </c>
      <c r="E469" s="5" t="s">
        <v>33</v>
      </c>
      <c r="F469" s="5">
        <f t="shared" si="31"/>
        <v>0</v>
      </c>
      <c r="G469" s="5">
        <f t="shared" si="28"/>
        <v>0</v>
      </c>
      <c r="H469" s="5">
        <f t="shared" si="29"/>
        <v>0</v>
      </c>
      <c r="I469" s="5">
        <f t="shared" si="30"/>
        <v>1</v>
      </c>
      <c r="J469" s="5">
        <v>250</v>
      </c>
      <c r="K469" s="5" t="s">
        <v>47</v>
      </c>
      <c r="L469" s="5">
        <v>18</v>
      </c>
      <c r="M469" t="str" cm="1">
        <f t="array" ref="M469">_xlfn.IFS(L469&lt;=14,"Short",L469&lt;=30,"Medium",L469&lt;=45,"Long",L469&lt;=60,"Very Long")</f>
        <v>Medium</v>
      </c>
      <c r="N469" s="5" t="s">
        <v>13</v>
      </c>
      <c r="O469" s="6">
        <v>6.5</v>
      </c>
    </row>
    <row r="470" spans="1:15" x14ac:dyDescent="0.25">
      <c r="A470" s="1" t="s">
        <v>529</v>
      </c>
      <c r="B470" s="2">
        <v>77</v>
      </c>
      <c r="C470" t="str" cm="1">
        <f t="array" ref="C470">_xlfn.IFS(B470&lt;=30,"Young",B470&lt;=50,"Middle-aged",B470&gt;50,"Older")</f>
        <v>Older</v>
      </c>
      <c r="D470" s="2" t="s">
        <v>19</v>
      </c>
      <c r="E470" s="2" t="s">
        <v>33</v>
      </c>
      <c r="F470" s="2">
        <f t="shared" si="31"/>
        <v>0</v>
      </c>
      <c r="G470" s="2">
        <f t="shared" si="28"/>
        <v>0</v>
      </c>
      <c r="H470" s="2">
        <f t="shared" si="29"/>
        <v>0</v>
      </c>
      <c r="I470" s="2">
        <f t="shared" si="30"/>
        <v>1</v>
      </c>
      <c r="J470" s="2">
        <v>100</v>
      </c>
      <c r="K470" s="2" t="s">
        <v>34</v>
      </c>
      <c r="L470" s="2">
        <v>31</v>
      </c>
      <c r="M470" t="str" cm="1">
        <f t="array" ref="M470">_xlfn.IFS(L470&lt;=14,"Short",L470&lt;=30,"Medium",L470&lt;=45,"Long",L470&lt;=60,"Very Long")</f>
        <v>Long</v>
      </c>
      <c r="N470" s="2" t="s">
        <v>97</v>
      </c>
      <c r="O470" s="3">
        <v>8.3000000000000007</v>
      </c>
    </row>
    <row r="471" spans="1:15" x14ac:dyDescent="0.25">
      <c r="A471" s="4" t="s">
        <v>530</v>
      </c>
      <c r="B471" s="5">
        <v>58</v>
      </c>
      <c r="C471" t="str" cm="1">
        <f t="array" ref="C471">_xlfn.IFS(B471&lt;=30,"Young",B471&lt;=50,"Middle-aged",B471&gt;50,"Older")</f>
        <v>Older</v>
      </c>
      <c r="D471" s="5" t="s">
        <v>19</v>
      </c>
      <c r="E471" s="5" t="s">
        <v>11</v>
      </c>
      <c r="F471" s="5">
        <f t="shared" si="31"/>
        <v>0</v>
      </c>
      <c r="G471" s="5">
        <f t="shared" si="28"/>
        <v>0</v>
      </c>
      <c r="H471" s="5">
        <f t="shared" si="29"/>
        <v>0</v>
      </c>
      <c r="I471" s="5">
        <f t="shared" si="30"/>
        <v>0</v>
      </c>
      <c r="J471" s="5">
        <v>100</v>
      </c>
      <c r="K471" s="5" t="s">
        <v>12</v>
      </c>
      <c r="L471" s="5">
        <v>45</v>
      </c>
      <c r="M471" t="str" cm="1">
        <f t="array" ref="M471">_xlfn.IFS(L471&lt;=14,"Short",L471&lt;=30,"Medium",L471&lt;=45,"Long",L471&lt;=60,"Very Long")</f>
        <v>Long</v>
      </c>
      <c r="N471" s="5" t="s">
        <v>13</v>
      </c>
      <c r="O471" s="6">
        <v>7.9</v>
      </c>
    </row>
    <row r="472" spans="1:15" x14ac:dyDescent="0.25">
      <c r="A472" s="1" t="s">
        <v>531</v>
      </c>
      <c r="B472" s="2">
        <v>54</v>
      </c>
      <c r="C472" t="str" cm="1">
        <f t="array" ref="C472">_xlfn.IFS(B472&lt;=30,"Young",B472&lt;=50,"Middle-aged",B472&gt;50,"Older")</f>
        <v>Older</v>
      </c>
      <c r="D472" s="2" t="s">
        <v>19</v>
      </c>
      <c r="E472" s="2" t="s">
        <v>20</v>
      </c>
      <c r="F472" s="2">
        <f t="shared" si="31"/>
        <v>0</v>
      </c>
      <c r="G472" s="2">
        <f t="shared" si="28"/>
        <v>1</v>
      </c>
      <c r="H472" s="2">
        <f t="shared" si="29"/>
        <v>0</v>
      </c>
      <c r="I472" s="2">
        <f t="shared" si="30"/>
        <v>0</v>
      </c>
      <c r="J472" s="2">
        <v>100</v>
      </c>
      <c r="K472" s="2" t="s">
        <v>37</v>
      </c>
      <c r="L472" s="2">
        <v>44</v>
      </c>
      <c r="M472" t="str" cm="1">
        <f t="array" ref="M472">_xlfn.IFS(L472&lt;=14,"Short",L472&lt;=30,"Medium",L472&lt;=45,"Long",L472&lt;=60,"Very Long")</f>
        <v>Long</v>
      </c>
      <c r="N472" s="2" t="s">
        <v>88</v>
      </c>
      <c r="O472" s="3">
        <v>7.8</v>
      </c>
    </row>
    <row r="473" spans="1:15" x14ac:dyDescent="0.25">
      <c r="A473" s="4" t="s">
        <v>532</v>
      </c>
      <c r="B473" s="5">
        <v>41</v>
      </c>
      <c r="C473" t="str" cm="1">
        <f t="array" ref="C473">_xlfn.IFS(B473&lt;=30,"Young",B473&lt;=50,"Middle-aged",B473&gt;50,"Older")</f>
        <v>Middle-aged</v>
      </c>
      <c r="D473" s="5" t="s">
        <v>10</v>
      </c>
      <c r="E473" s="5" t="s">
        <v>24</v>
      </c>
      <c r="F473" s="5">
        <f t="shared" si="31"/>
        <v>0</v>
      </c>
      <c r="G473" s="5">
        <f t="shared" si="28"/>
        <v>0</v>
      </c>
      <c r="H473" s="5">
        <f t="shared" si="29"/>
        <v>1</v>
      </c>
      <c r="I473" s="5">
        <f t="shared" si="30"/>
        <v>0</v>
      </c>
      <c r="J473" s="5">
        <v>100</v>
      </c>
      <c r="K473" s="5" t="s">
        <v>39</v>
      </c>
      <c r="L473" s="5">
        <v>32</v>
      </c>
      <c r="M473" t="str" cm="1">
        <f t="array" ref="M473">_xlfn.IFS(L473&lt;=14,"Short",L473&lt;=30,"Medium",L473&lt;=45,"Long",L473&lt;=60,"Very Long")</f>
        <v>Long</v>
      </c>
      <c r="N473" s="5" t="s">
        <v>136</v>
      </c>
      <c r="O473" s="6">
        <v>7.1</v>
      </c>
    </row>
    <row r="474" spans="1:15" x14ac:dyDescent="0.25">
      <c r="A474" s="1" t="s">
        <v>533</v>
      </c>
      <c r="B474" s="2">
        <v>46</v>
      </c>
      <c r="C474" t="str" cm="1">
        <f t="array" ref="C474">_xlfn.IFS(B474&lt;=30,"Young",B474&lt;=50,"Middle-aged",B474&gt;50,"Older")</f>
        <v>Middle-aged</v>
      </c>
      <c r="D474" s="2" t="s">
        <v>10</v>
      </c>
      <c r="E474" s="2" t="s">
        <v>20</v>
      </c>
      <c r="F474" s="2">
        <f t="shared" si="31"/>
        <v>0</v>
      </c>
      <c r="G474" s="2">
        <f t="shared" si="28"/>
        <v>1</v>
      </c>
      <c r="H474" s="2">
        <f t="shared" si="29"/>
        <v>0</v>
      </c>
      <c r="I474" s="2">
        <f t="shared" si="30"/>
        <v>0</v>
      </c>
      <c r="J474" s="2">
        <v>500</v>
      </c>
      <c r="K474" s="2" t="s">
        <v>21</v>
      </c>
      <c r="L474" s="2">
        <v>30</v>
      </c>
      <c r="M474" t="str" cm="1">
        <f t="array" ref="M474">_xlfn.IFS(L474&lt;=14,"Short",L474&lt;=30,"Medium",L474&lt;=45,"Long",L474&lt;=60,"Very Long")</f>
        <v>Medium</v>
      </c>
      <c r="N474" s="2" t="s">
        <v>28</v>
      </c>
      <c r="O474" s="3">
        <v>7</v>
      </c>
    </row>
    <row r="475" spans="1:15" x14ac:dyDescent="0.25">
      <c r="A475" s="4" t="s">
        <v>534</v>
      </c>
      <c r="B475" s="5">
        <v>66</v>
      </c>
      <c r="C475" t="str" cm="1">
        <f t="array" ref="C475">_xlfn.IFS(B475&lt;=30,"Young",B475&lt;=50,"Middle-aged",B475&gt;50,"Older")</f>
        <v>Older</v>
      </c>
      <c r="D475" s="5" t="s">
        <v>10</v>
      </c>
      <c r="E475" s="5" t="s">
        <v>24</v>
      </c>
      <c r="F475" s="5">
        <f t="shared" si="31"/>
        <v>0</v>
      </c>
      <c r="G475" s="5">
        <f t="shared" si="28"/>
        <v>0</v>
      </c>
      <c r="H475" s="5">
        <f t="shared" si="29"/>
        <v>1</v>
      </c>
      <c r="I475" s="5">
        <f t="shared" si="30"/>
        <v>0</v>
      </c>
      <c r="J475" s="5">
        <v>500</v>
      </c>
      <c r="K475" s="5" t="s">
        <v>39</v>
      </c>
      <c r="L475" s="5">
        <v>53</v>
      </c>
      <c r="M475" t="str" cm="1">
        <f t="array" ref="M475">_xlfn.IFS(L475&lt;=14,"Short",L475&lt;=30,"Medium",L475&lt;=45,"Long",L475&lt;=60,"Very Long")</f>
        <v>Very Long</v>
      </c>
      <c r="N475" s="5" t="s">
        <v>136</v>
      </c>
      <c r="O475" s="6">
        <v>6</v>
      </c>
    </row>
    <row r="476" spans="1:15" x14ac:dyDescent="0.25">
      <c r="A476" s="1" t="s">
        <v>535</v>
      </c>
      <c r="B476" s="2">
        <v>63</v>
      </c>
      <c r="C476" t="str" cm="1">
        <f t="array" ref="C476">_xlfn.IFS(B476&lt;=30,"Young",B476&lt;=50,"Middle-aged",B476&gt;50,"Older")</f>
        <v>Older</v>
      </c>
      <c r="D476" s="2" t="s">
        <v>10</v>
      </c>
      <c r="E476" s="2" t="s">
        <v>11</v>
      </c>
      <c r="F476" s="2">
        <f t="shared" si="31"/>
        <v>0</v>
      </c>
      <c r="G476" s="2">
        <f t="shared" si="28"/>
        <v>0</v>
      </c>
      <c r="H476" s="2">
        <f t="shared" si="29"/>
        <v>0</v>
      </c>
      <c r="I476" s="2">
        <f t="shared" si="30"/>
        <v>0</v>
      </c>
      <c r="J476" s="2">
        <v>250</v>
      </c>
      <c r="K476" s="2" t="s">
        <v>12</v>
      </c>
      <c r="L476" s="2">
        <v>6</v>
      </c>
      <c r="M476" t="str" cm="1">
        <f t="array" ref="M476">_xlfn.IFS(L476&lt;=14,"Short",L476&lt;=30,"Medium",L476&lt;=45,"Long",L476&lt;=60,"Very Long")</f>
        <v>Short</v>
      </c>
      <c r="N476" s="2" t="s">
        <v>13</v>
      </c>
      <c r="O476" s="3">
        <v>8</v>
      </c>
    </row>
    <row r="477" spans="1:15" x14ac:dyDescent="0.25">
      <c r="A477" s="4" t="s">
        <v>536</v>
      </c>
      <c r="B477" s="5">
        <v>70</v>
      </c>
      <c r="C477" t="str" cm="1">
        <f t="array" ref="C477">_xlfn.IFS(B477&lt;=30,"Young",B477&lt;=50,"Middle-aged",B477&gt;50,"Older")</f>
        <v>Older</v>
      </c>
      <c r="D477" s="5" t="s">
        <v>19</v>
      </c>
      <c r="E477" s="5" t="s">
        <v>24</v>
      </c>
      <c r="F477" s="5">
        <f t="shared" si="31"/>
        <v>0</v>
      </c>
      <c r="G477" s="5">
        <f t="shared" si="28"/>
        <v>0</v>
      </c>
      <c r="H477" s="5">
        <f t="shared" si="29"/>
        <v>1</v>
      </c>
      <c r="I477" s="5">
        <f t="shared" si="30"/>
        <v>0</v>
      </c>
      <c r="J477" s="5">
        <v>850</v>
      </c>
      <c r="K477" s="5" t="s">
        <v>39</v>
      </c>
      <c r="L477" s="5">
        <v>29</v>
      </c>
      <c r="M477" t="str" cm="1">
        <f t="array" ref="M477">_xlfn.IFS(L477&lt;=14,"Short",L477&lt;=30,"Medium",L477&lt;=45,"Long",L477&lt;=60,"Very Long")</f>
        <v>Medium</v>
      </c>
      <c r="N477" s="5" t="s">
        <v>85</v>
      </c>
      <c r="O477" s="6">
        <v>7.6</v>
      </c>
    </row>
    <row r="478" spans="1:15" x14ac:dyDescent="0.25">
      <c r="A478" s="1" t="s">
        <v>537</v>
      </c>
      <c r="B478" s="2">
        <v>48</v>
      </c>
      <c r="C478" t="str" cm="1">
        <f t="array" ref="C478">_xlfn.IFS(B478&lt;=30,"Young",B478&lt;=50,"Middle-aged",B478&gt;50,"Older")</f>
        <v>Middle-aged</v>
      </c>
      <c r="D478" s="2" t="s">
        <v>19</v>
      </c>
      <c r="E478" s="2" t="s">
        <v>33</v>
      </c>
      <c r="F478" s="2">
        <f t="shared" si="31"/>
        <v>0</v>
      </c>
      <c r="G478" s="2">
        <f t="shared" si="28"/>
        <v>0</v>
      </c>
      <c r="H478" s="2">
        <f t="shared" si="29"/>
        <v>0</v>
      </c>
      <c r="I478" s="2">
        <f t="shared" si="30"/>
        <v>1</v>
      </c>
      <c r="J478" s="2">
        <v>250</v>
      </c>
      <c r="K478" s="2" t="s">
        <v>34</v>
      </c>
      <c r="L478" s="2">
        <v>7</v>
      </c>
      <c r="M478" t="str" cm="1">
        <f t="array" ref="M478">_xlfn.IFS(L478&lt;=14,"Short",L478&lt;=30,"Medium",L478&lt;=45,"Long",L478&lt;=60,"Very Long")</f>
        <v>Short</v>
      </c>
      <c r="N478" s="2" t="s">
        <v>97</v>
      </c>
      <c r="O478" s="3">
        <v>7.7</v>
      </c>
    </row>
    <row r="479" spans="1:15" x14ac:dyDescent="0.25">
      <c r="A479" s="4" t="s">
        <v>538</v>
      </c>
      <c r="B479" s="5">
        <v>52</v>
      </c>
      <c r="C479" t="str" cm="1">
        <f t="array" ref="C479">_xlfn.IFS(B479&lt;=30,"Young",B479&lt;=50,"Middle-aged",B479&gt;50,"Older")</f>
        <v>Older</v>
      </c>
      <c r="D479" s="5" t="s">
        <v>10</v>
      </c>
      <c r="E479" s="5" t="s">
        <v>15</v>
      </c>
      <c r="F479" s="5">
        <f t="shared" si="31"/>
        <v>1</v>
      </c>
      <c r="G479" s="5">
        <f t="shared" si="28"/>
        <v>0</v>
      </c>
      <c r="H479" s="5">
        <f t="shared" si="29"/>
        <v>0</v>
      </c>
      <c r="I479" s="5">
        <f t="shared" si="30"/>
        <v>0</v>
      </c>
      <c r="J479" s="5">
        <v>50</v>
      </c>
      <c r="K479" s="5" t="s">
        <v>16</v>
      </c>
      <c r="L479" s="5">
        <v>12</v>
      </c>
      <c r="M479" t="str" cm="1">
        <f t="array" ref="M479">_xlfn.IFS(L479&lt;=14,"Short",L479&lt;=30,"Medium",L479&lt;=45,"Long",L479&lt;=60,"Very Long")</f>
        <v>Short</v>
      </c>
      <c r="N479" s="5" t="s">
        <v>17</v>
      </c>
      <c r="O479" s="6">
        <v>6.2</v>
      </c>
    </row>
    <row r="480" spans="1:15" x14ac:dyDescent="0.25">
      <c r="A480" s="1" t="s">
        <v>539</v>
      </c>
      <c r="B480" s="2">
        <v>77</v>
      </c>
      <c r="C480" t="str" cm="1">
        <f t="array" ref="C480">_xlfn.IFS(B480&lt;=30,"Young",B480&lt;=50,"Middle-aged",B480&gt;50,"Older")</f>
        <v>Older</v>
      </c>
      <c r="D480" s="2" t="s">
        <v>10</v>
      </c>
      <c r="E480" s="2" t="s">
        <v>15</v>
      </c>
      <c r="F480" s="2">
        <f t="shared" si="31"/>
        <v>1</v>
      </c>
      <c r="G480" s="2">
        <f t="shared" si="28"/>
        <v>0</v>
      </c>
      <c r="H480" s="2">
        <f t="shared" si="29"/>
        <v>0</v>
      </c>
      <c r="I480" s="2">
        <f t="shared" si="30"/>
        <v>0</v>
      </c>
      <c r="J480" s="2">
        <v>50</v>
      </c>
      <c r="K480" s="2" t="s">
        <v>63</v>
      </c>
      <c r="L480" s="2">
        <v>48</v>
      </c>
      <c r="M480" t="str" cm="1">
        <f t="array" ref="M480">_xlfn.IFS(L480&lt;=14,"Short",L480&lt;=30,"Medium",L480&lt;=45,"Long",L480&lt;=60,"Very Long")</f>
        <v>Very Long</v>
      </c>
      <c r="N480" s="2" t="s">
        <v>110</v>
      </c>
      <c r="O480" s="3">
        <v>3.8</v>
      </c>
    </row>
    <row r="481" spans="1:15" x14ac:dyDescent="0.25">
      <c r="A481" s="4" t="s">
        <v>540</v>
      </c>
      <c r="B481" s="5">
        <v>50</v>
      </c>
      <c r="C481" t="str" cm="1">
        <f t="array" ref="C481">_xlfn.IFS(B481&lt;=30,"Young",B481&lt;=50,"Middle-aged",B481&gt;50,"Older")</f>
        <v>Middle-aged</v>
      </c>
      <c r="D481" s="5" t="s">
        <v>19</v>
      </c>
      <c r="E481" s="5" t="s">
        <v>11</v>
      </c>
      <c r="F481" s="5">
        <f t="shared" si="31"/>
        <v>0</v>
      </c>
      <c r="G481" s="5">
        <f t="shared" si="28"/>
        <v>0</v>
      </c>
      <c r="H481" s="5">
        <f t="shared" si="29"/>
        <v>0</v>
      </c>
      <c r="I481" s="5">
        <f t="shared" si="30"/>
        <v>0</v>
      </c>
      <c r="J481" s="5">
        <v>100</v>
      </c>
      <c r="K481" s="5" t="s">
        <v>51</v>
      </c>
      <c r="L481" s="5">
        <v>37</v>
      </c>
      <c r="M481" t="str" cm="1">
        <f t="array" ref="M481">_xlfn.IFS(L481&lt;=14,"Short",L481&lt;=30,"Medium",L481&lt;=45,"Long",L481&lt;=60,"Very Long")</f>
        <v>Long</v>
      </c>
      <c r="N481" s="5" t="s">
        <v>13</v>
      </c>
      <c r="O481" s="6">
        <v>8.6</v>
      </c>
    </row>
    <row r="482" spans="1:15" x14ac:dyDescent="0.25">
      <c r="A482" s="1" t="s">
        <v>541</v>
      </c>
      <c r="B482" s="2">
        <v>69</v>
      </c>
      <c r="C482" t="str" cm="1">
        <f t="array" ref="C482">_xlfn.IFS(B482&lt;=30,"Young",B482&lt;=50,"Middle-aged",B482&gt;50,"Older")</f>
        <v>Older</v>
      </c>
      <c r="D482" s="2" t="s">
        <v>10</v>
      </c>
      <c r="E482" s="2" t="s">
        <v>33</v>
      </c>
      <c r="F482" s="2">
        <f t="shared" si="31"/>
        <v>0</v>
      </c>
      <c r="G482" s="2">
        <f t="shared" si="28"/>
        <v>0</v>
      </c>
      <c r="H482" s="2">
        <f t="shared" si="29"/>
        <v>0</v>
      </c>
      <c r="I482" s="2">
        <f t="shared" si="30"/>
        <v>1</v>
      </c>
      <c r="J482" s="2">
        <v>100</v>
      </c>
      <c r="K482" s="2" t="s">
        <v>49</v>
      </c>
      <c r="L482" s="2">
        <v>46</v>
      </c>
      <c r="M482" t="str" cm="1">
        <f t="array" ref="M482">_xlfn.IFS(L482&lt;=14,"Short",L482&lt;=30,"Medium",L482&lt;=45,"Long",L482&lt;=60,"Very Long")</f>
        <v>Very Long</v>
      </c>
      <c r="N482" s="2" t="s">
        <v>13</v>
      </c>
      <c r="O482" s="3">
        <v>6.3</v>
      </c>
    </row>
    <row r="483" spans="1:15" x14ac:dyDescent="0.25">
      <c r="A483" s="4" t="s">
        <v>542</v>
      </c>
      <c r="B483" s="5">
        <v>78</v>
      </c>
      <c r="C483" t="str" cm="1">
        <f t="array" ref="C483">_xlfn.IFS(B483&lt;=30,"Young",B483&lt;=50,"Middle-aged",B483&gt;50,"Older")</f>
        <v>Older</v>
      </c>
      <c r="D483" s="5" t="s">
        <v>19</v>
      </c>
      <c r="E483" s="5" t="s">
        <v>20</v>
      </c>
      <c r="F483" s="5">
        <f t="shared" si="31"/>
        <v>0</v>
      </c>
      <c r="G483" s="5">
        <f t="shared" si="28"/>
        <v>1</v>
      </c>
      <c r="H483" s="5">
        <f t="shared" si="29"/>
        <v>0</v>
      </c>
      <c r="I483" s="5">
        <f t="shared" si="30"/>
        <v>0</v>
      </c>
      <c r="J483" s="5">
        <v>50</v>
      </c>
      <c r="K483" s="5" t="s">
        <v>37</v>
      </c>
      <c r="L483" s="5">
        <v>56</v>
      </c>
      <c r="M483" t="str" cm="1">
        <f t="array" ref="M483">_xlfn.IFS(L483&lt;=14,"Short",L483&lt;=30,"Medium",L483&lt;=45,"Long",L483&lt;=60,"Very Long")</f>
        <v>Very Long</v>
      </c>
      <c r="N483" s="5" t="s">
        <v>173</v>
      </c>
      <c r="O483" s="6">
        <v>5.7</v>
      </c>
    </row>
    <row r="484" spans="1:15" x14ac:dyDescent="0.25">
      <c r="A484" s="1" t="s">
        <v>543</v>
      </c>
      <c r="B484" s="2">
        <v>38</v>
      </c>
      <c r="C484" t="str" cm="1">
        <f t="array" ref="C484">_xlfn.IFS(B484&lt;=30,"Young",B484&lt;=50,"Middle-aged",B484&gt;50,"Older")</f>
        <v>Middle-aged</v>
      </c>
      <c r="D484" s="2" t="s">
        <v>10</v>
      </c>
      <c r="E484" s="2" t="s">
        <v>33</v>
      </c>
      <c r="F484" s="2">
        <f t="shared" si="31"/>
        <v>0</v>
      </c>
      <c r="G484" s="2">
        <f t="shared" si="28"/>
        <v>0</v>
      </c>
      <c r="H484" s="2">
        <f t="shared" si="29"/>
        <v>0</v>
      </c>
      <c r="I484" s="2">
        <f t="shared" si="30"/>
        <v>1</v>
      </c>
      <c r="J484" s="2">
        <v>50</v>
      </c>
      <c r="K484" s="2" t="s">
        <v>47</v>
      </c>
      <c r="L484" s="2">
        <v>39</v>
      </c>
      <c r="M484" t="str" cm="1">
        <f t="array" ref="M484">_xlfn.IFS(L484&lt;=14,"Short",L484&lt;=30,"Medium",L484&lt;=45,"Long",L484&lt;=60,"Very Long")</f>
        <v>Long</v>
      </c>
      <c r="N484" s="2" t="s">
        <v>345</v>
      </c>
      <c r="O484" s="3">
        <v>8</v>
      </c>
    </row>
    <row r="485" spans="1:15" x14ac:dyDescent="0.25">
      <c r="A485" s="4" t="s">
        <v>544</v>
      </c>
      <c r="B485" s="5">
        <v>49</v>
      </c>
      <c r="C485" t="str" cm="1">
        <f t="array" ref="C485">_xlfn.IFS(B485&lt;=30,"Young",B485&lt;=50,"Middle-aged",B485&gt;50,"Older")</f>
        <v>Middle-aged</v>
      </c>
      <c r="D485" s="5" t="s">
        <v>10</v>
      </c>
      <c r="E485" s="5" t="s">
        <v>15</v>
      </c>
      <c r="F485" s="5">
        <f t="shared" si="31"/>
        <v>1</v>
      </c>
      <c r="G485" s="5">
        <f t="shared" si="28"/>
        <v>0</v>
      </c>
      <c r="H485" s="5">
        <f t="shared" si="29"/>
        <v>0</v>
      </c>
      <c r="I485" s="5">
        <f t="shared" si="30"/>
        <v>0</v>
      </c>
      <c r="J485" s="5">
        <v>850</v>
      </c>
      <c r="K485" s="5" t="s">
        <v>16</v>
      </c>
      <c r="L485" s="5">
        <v>10</v>
      </c>
      <c r="M485" t="str" cm="1">
        <f t="array" ref="M485">_xlfn.IFS(L485&lt;=14,"Short",L485&lt;=30,"Medium",L485&lt;=45,"Long",L485&lt;=60,"Very Long")</f>
        <v>Short</v>
      </c>
      <c r="N485" s="5" t="s">
        <v>17</v>
      </c>
      <c r="O485" s="6">
        <v>6.4</v>
      </c>
    </row>
    <row r="486" spans="1:15" x14ac:dyDescent="0.25">
      <c r="A486" s="1" t="s">
        <v>545</v>
      </c>
      <c r="B486" s="2">
        <v>40</v>
      </c>
      <c r="C486" t="str" cm="1">
        <f t="array" ref="C486">_xlfn.IFS(B486&lt;=30,"Young",B486&lt;=50,"Middle-aged",B486&gt;50,"Older")</f>
        <v>Middle-aged</v>
      </c>
      <c r="D486" s="2" t="s">
        <v>10</v>
      </c>
      <c r="E486" s="2" t="s">
        <v>15</v>
      </c>
      <c r="F486" s="2">
        <f t="shared" si="31"/>
        <v>1</v>
      </c>
      <c r="G486" s="2">
        <f t="shared" si="28"/>
        <v>0</v>
      </c>
      <c r="H486" s="2">
        <f t="shared" si="29"/>
        <v>0</v>
      </c>
      <c r="I486" s="2">
        <f t="shared" si="30"/>
        <v>0</v>
      </c>
      <c r="J486" s="2">
        <v>100</v>
      </c>
      <c r="K486" s="2" t="s">
        <v>63</v>
      </c>
      <c r="L486" s="2">
        <v>43</v>
      </c>
      <c r="M486" t="str" cm="1">
        <f t="array" ref="M486">_xlfn.IFS(L486&lt;=14,"Short",L486&lt;=30,"Medium",L486&lt;=45,"Long",L486&lt;=60,"Very Long")</f>
        <v>Long</v>
      </c>
      <c r="N486" s="2" t="s">
        <v>64</v>
      </c>
      <c r="O486" s="3">
        <v>8.6</v>
      </c>
    </row>
    <row r="487" spans="1:15" x14ac:dyDescent="0.25">
      <c r="A487" s="4" t="s">
        <v>546</v>
      </c>
      <c r="B487" s="5">
        <v>50</v>
      </c>
      <c r="C487" t="str" cm="1">
        <f t="array" ref="C487">_xlfn.IFS(B487&lt;=30,"Young",B487&lt;=50,"Middle-aged",B487&gt;50,"Older")</f>
        <v>Middle-aged</v>
      </c>
      <c r="D487" s="5" t="s">
        <v>10</v>
      </c>
      <c r="E487" s="5" t="s">
        <v>33</v>
      </c>
      <c r="F487" s="5">
        <f t="shared" si="31"/>
        <v>0</v>
      </c>
      <c r="G487" s="5">
        <f t="shared" si="28"/>
        <v>0</v>
      </c>
      <c r="H487" s="5">
        <f t="shared" si="29"/>
        <v>0</v>
      </c>
      <c r="I487" s="5">
        <f t="shared" si="30"/>
        <v>1</v>
      </c>
      <c r="J487" s="5">
        <v>850</v>
      </c>
      <c r="K487" s="5" t="s">
        <v>49</v>
      </c>
      <c r="L487" s="5">
        <v>56</v>
      </c>
      <c r="M487" t="str" cm="1">
        <f t="array" ref="M487">_xlfn.IFS(L487&lt;=14,"Short",L487&lt;=30,"Medium",L487&lt;=45,"Long",L487&lt;=60,"Very Long")</f>
        <v>Very Long</v>
      </c>
      <c r="N487" s="5" t="s">
        <v>91</v>
      </c>
      <c r="O487" s="6">
        <v>7.9</v>
      </c>
    </row>
    <row r="488" spans="1:15" x14ac:dyDescent="0.25">
      <c r="A488" s="1" t="s">
        <v>547</v>
      </c>
      <c r="B488" s="2">
        <v>20</v>
      </c>
      <c r="C488" t="str" cm="1">
        <f t="array" ref="C488">_xlfn.IFS(B488&lt;=30,"Young",B488&lt;=50,"Middle-aged",B488&gt;50,"Older")</f>
        <v>Young</v>
      </c>
      <c r="D488" s="2" t="s">
        <v>10</v>
      </c>
      <c r="E488" s="2" t="s">
        <v>33</v>
      </c>
      <c r="F488" s="2">
        <f t="shared" si="31"/>
        <v>0</v>
      </c>
      <c r="G488" s="2">
        <f t="shared" si="28"/>
        <v>0</v>
      </c>
      <c r="H488" s="2">
        <f t="shared" si="29"/>
        <v>0</v>
      </c>
      <c r="I488" s="2">
        <f t="shared" si="30"/>
        <v>1</v>
      </c>
      <c r="J488" s="2">
        <v>100</v>
      </c>
      <c r="K488" s="2" t="s">
        <v>47</v>
      </c>
      <c r="L488" s="2">
        <v>27</v>
      </c>
      <c r="M488" t="str" cm="1">
        <f t="array" ref="M488">_xlfn.IFS(L488&lt;=14,"Short",L488&lt;=30,"Medium",L488&lt;=45,"Long",L488&lt;=60,"Very Long")</f>
        <v>Medium</v>
      </c>
      <c r="N488" s="2" t="s">
        <v>225</v>
      </c>
      <c r="O488" s="3">
        <v>8</v>
      </c>
    </row>
    <row r="489" spans="1:15" x14ac:dyDescent="0.25">
      <c r="A489" s="4" t="s">
        <v>548</v>
      </c>
      <c r="B489" s="5">
        <v>35</v>
      </c>
      <c r="C489" t="str" cm="1">
        <f t="array" ref="C489">_xlfn.IFS(B489&lt;=30,"Young",B489&lt;=50,"Middle-aged",B489&gt;50,"Older")</f>
        <v>Middle-aged</v>
      </c>
      <c r="D489" s="5" t="s">
        <v>10</v>
      </c>
      <c r="E489" s="5" t="s">
        <v>15</v>
      </c>
      <c r="F489" s="5">
        <f t="shared" si="31"/>
        <v>1</v>
      </c>
      <c r="G489" s="5">
        <f t="shared" si="28"/>
        <v>0</v>
      </c>
      <c r="H489" s="5">
        <f t="shared" si="29"/>
        <v>0</v>
      </c>
      <c r="I489" s="5">
        <f t="shared" si="30"/>
        <v>0</v>
      </c>
      <c r="J489" s="5">
        <v>250</v>
      </c>
      <c r="K489" s="5" t="s">
        <v>16</v>
      </c>
      <c r="L489" s="5">
        <v>29</v>
      </c>
      <c r="M489" t="str" cm="1">
        <f t="array" ref="M489">_xlfn.IFS(L489&lt;=14,"Short",L489&lt;=30,"Medium",L489&lt;=45,"Long",L489&lt;=60,"Very Long")</f>
        <v>Medium</v>
      </c>
      <c r="N489" s="5" t="s">
        <v>17</v>
      </c>
      <c r="O489" s="6">
        <v>5</v>
      </c>
    </row>
    <row r="490" spans="1:15" x14ac:dyDescent="0.25">
      <c r="A490" s="1" t="s">
        <v>549</v>
      </c>
      <c r="B490" s="2">
        <v>42</v>
      </c>
      <c r="C490" t="str" cm="1">
        <f t="array" ref="C490">_xlfn.IFS(B490&lt;=30,"Young",B490&lt;=50,"Middle-aged",B490&gt;50,"Older")</f>
        <v>Middle-aged</v>
      </c>
      <c r="D490" s="2" t="s">
        <v>10</v>
      </c>
      <c r="E490" s="2" t="s">
        <v>20</v>
      </c>
      <c r="F490" s="2">
        <f t="shared" si="31"/>
        <v>0</v>
      </c>
      <c r="G490" s="2">
        <f t="shared" si="28"/>
        <v>1</v>
      </c>
      <c r="H490" s="2">
        <f t="shared" si="29"/>
        <v>0</v>
      </c>
      <c r="I490" s="2">
        <f t="shared" si="30"/>
        <v>0</v>
      </c>
      <c r="J490" s="2">
        <v>850</v>
      </c>
      <c r="K490" s="2" t="s">
        <v>37</v>
      </c>
      <c r="L490" s="2">
        <v>54</v>
      </c>
      <c r="M490" t="str" cm="1">
        <f t="array" ref="M490">_xlfn.IFS(L490&lt;=14,"Short",L490&lt;=30,"Medium",L490&lt;=45,"Long",L490&lt;=60,"Very Long")</f>
        <v>Very Long</v>
      </c>
      <c r="N490" s="2" t="s">
        <v>13</v>
      </c>
      <c r="O490" s="3">
        <v>8.8000000000000007</v>
      </c>
    </row>
    <row r="491" spans="1:15" x14ac:dyDescent="0.25">
      <c r="A491" s="4" t="s">
        <v>550</v>
      </c>
      <c r="B491" s="5">
        <v>59</v>
      </c>
      <c r="C491" t="str" cm="1">
        <f t="array" ref="C491">_xlfn.IFS(B491&lt;=30,"Young",B491&lt;=50,"Middle-aged",B491&gt;50,"Older")</f>
        <v>Older</v>
      </c>
      <c r="D491" s="5" t="s">
        <v>19</v>
      </c>
      <c r="E491" s="5" t="s">
        <v>11</v>
      </c>
      <c r="F491" s="5">
        <f t="shared" si="31"/>
        <v>0</v>
      </c>
      <c r="G491" s="5">
        <f t="shared" si="28"/>
        <v>0</v>
      </c>
      <c r="H491" s="5">
        <f t="shared" si="29"/>
        <v>0</v>
      </c>
      <c r="I491" s="5">
        <f t="shared" si="30"/>
        <v>0</v>
      </c>
      <c r="J491" s="5">
        <v>850</v>
      </c>
      <c r="K491" s="5" t="s">
        <v>84</v>
      </c>
      <c r="L491" s="5">
        <v>47</v>
      </c>
      <c r="M491" t="str" cm="1">
        <f t="array" ref="M491">_xlfn.IFS(L491&lt;=14,"Short",L491&lt;=30,"Medium",L491&lt;=45,"Long",L491&lt;=60,"Very Long")</f>
        <v>Very Long</v>
      </c>
      <c r="N491" s="5" t="s">
        <v>93</v>
      </c>
      <c r="O491" s="6">
        <v>7.4</v>
      </c>
    </row>
    <row r="492" spans="1:15" x14ac:dyDescent="0.25">
      <c r="A492" s="1" t="s">
        <v>551</v>
      </c>
      <c r="B492" s="2">
        <v>48</v>
      </c>
      <c r="C492" t="str" cm="1">
        <f t="array" ref="C492">_xlfn.IFS(B492&lt;=30,"Young",B492&lt;=50,"Middle-aged",B492&gt;50,"Older")</f>
        <v>Middle-aged</v>
      </c>
      <c r="D492" s="2" t="s">
        <v>19</v>
      </c>
      <c r="E492" s="2" t="s">
        <v>11</v>
      </c>
      <c r="F492" s="2">
        <f t="shared" si="31"/>
        <v>0</v>
      </c>
      <c r="G492" s="2">
        <f t="shared" si="28"/>
        <v>0</v>
      </c>
      <c r="H492" s="2">
        <f t="shared" si="29"/>
        <v>0</v>
      </c>
      <c r="I492" s="2">
        <f t="shared" si="30"/>
        <v>0</v>
      </c>
      <c r="J492" s="2">
        <v>100</v>
      </c>
      <c r="K492" s="2" t="s">
        <v>12</v>
      </c>
      <c r="L492" s="2">
        <v>23</v>
      </c>
      <c r="M492" t="str" cm="1">
        <f t="array" ref="M492">_xlfn.IFS(L492&lt;=14,"Short",L492&lt;=30,"Medium",L492&lt;=45,"Long",L492&lt;=60,"Very Long")</f>
        <v>Medium</v>
      </c>
      <c r="N492" s="2" t="s">
        <v>30</v>
      </c>
      <c r="O492" s="3">
        <v>6.4</v>
      </c>
    </row>
    <row r="493" spans="1:15" x14ac:dyDescent="0.25">
      <c r="A493" s="4" t="s">
        <v>552</v>
      </c>
      <c r="B493" s="5">
        <v>71</v>
      </c>
      <c r="C493" t="str" cm="1">
        <f t="array" ref="C493">_xlfn.IFS(B493&lt;=30,"Young",B493&lt;=50,"Middle-aged",B493&gt;50,"Older")</f>
        <v>Older</v>
      </c>
      <c r="D493" s="5" t="s">
        <v>19</v>
      </c>
      <c r="E493" s="5" t="s">
        <v>33</v>
      </c>
      <c r="F493" s="5">
        <f t="shared" si="31"/>
        <v>0</v>
      </c>
      <c r="G493" s="5">
        <f t="shared" si="28"/>
        <v>0</v>
      </c>
      <c r="H493" s="5">
        <f t="shared" si="29"/>
        <v>0</v>
      </c>
      <c r="I493" s="5">
        <f t="shared" si="30"/>
        <v>1</v>
      </c>
      <c r="J493" s="5">
        <v>250</v>
      </c>
      <c r="K493" s="5" t="s">
        <v>47</v>
      </c>
      <c r="L493" s="5">
        <v>9</v>
      </c>
      <c r="M493" t="str" cm="1">
        <f t="array" ref="M493">_xlfn.IFS(L493&lt;=14,"Short",L493&lt;=30,"Medium",L493&lt;=45,"Long",L493&lt;=60,"Very Long")</f>
        <v>Short</v>
      </c>
      <c r="N493" s="5" t="s">
        <v>225</v>
      </c>
      <c r="O493" s="6">
        <v>7.2</v>
      </c>
    </row>
    <row r="494" spans="1:15" x14ac:dyDescent="0.25">
      <c r="A494" s="1" t="s">
        <v>553</v>
      </c>
      <c r="B494" s="2">
        <v>75</v>
      </c>
      <c r="C494" t="str" cm="1">
        <f t="array" ref="C494">_xlfn.IFS(B494&lt;=30,"Young",B494&lt;=50,"Middle-aged",B494&gt;50,"Older")</f>
        <v>Older</v>
      </c>
      <c r="D494" s="2" t="s">
        <v>19</v>
      </c>
      <c r="E494" s="2" t="s">
        <v>11</v>
      </c>
      <c r="F494" s="2">
        <f t="shared" si="31"/>
        <v>0</v>
      </c>
      <c r="G494" s="2">
        <f t="shared" si="28"/>
        <v>0</v>
      </c>
      <c r="H494" s="2">
        <f t="shared" si="29"/>
        <v>0</v>
      </c>
      <c r="I494" s="2">
        <f t="shared" si="30"/>
        <v>0</v>
      </c>
      <c r="J494" s="2">
        <v>250</v>
      </c>
      <c r="K494" s="2" t="s">
        <v>12</v>
      </c>
      <c r="L494" s="2">
        <v>55</v>
      </c>
      <c r="M494" t="str" cm="1">
        <f t="array" ref="M494">_xlfn.IFS(L494&lt;=14,"Short",L494&lt;=30,"Medium",L494&lt;=45,"Long",L494&lt;=60,"Very Long")</f>
        <v>Very Long</v>
      </c>
      <c r="N494" s="2" t="s">
        <v>30</v>
      </c>
      <c r="O494" s="3">
        <v>4.3</v>
      </c>
    </row>
    <row r="495" spans="1:15" x14ac:dyDescent="0.25">
      <c r="A495" s="4" t="s">
        <v>554</v>
      </c>
      <c r="B495" s="5">
        <v>20</v>
      </c>
      <c r="C495" t="str" cm="1">
        <f t="array" ref="C495">_xlfn.IFS(B495&lt;=30,"Young",B495&lt;=50,"Middle-aged",B495&gt;50,"Older")</f>
        <v>Young</v>
      </c>
      <c r="D495" s="5" t="s">
        <v>19</v>
      </c>
      <c r="E495" s="5" t="s">
        <v>15</v>
      </c>
      <c r="F495" s="5">
        <f t="shared" si="31"/>
        <v>1</v>
      </c>
      <c r="G495" s="5">
        <f t="shared" si="28"/>
        <v>0</v>
      </c>
      <c r="H495" s="5">
        <f t="shared" si="29"/>
        <v>0</v>
      </c>
      <c r="I495" s="5">
        <f t="shared" si="30"/>
        <v>0</v>
      </c>
      <c r="J495" s="5">
        <v>850</v>
      </c>
      <c r="K495" s="5" t="s">
        <v>44</v>
      </c>
      <c r="L495" s="5">
        <v>15</v>
      </c>
      <c r="M495" t="str" cm="1">
        <f t="array" ref="M495">_xlfn.IFS(L495&lt;=14,"Short",L495&lt;=30,"Medium",L495&lt;=45,"Long",L495&lt;=60,"Very Long")</f>
        <v>Medium</v>
      </c>
      <c r="N495" s="5" t="s">
        <v>95</v>
      </c>
      <c r="O495" s="6">
        <v>7.6</v>
      </c>
    </row>
    <row r="496" spans="1:15" x14ac:dyDescent="0.25">
      <c r="A496" s="1" t="s">
        <v>555</v>
      </c>
      <c r="B496" s="2">
        <v>57</v>
      </c>
      <c r="C496" t="str" cm="1">
        <f t="array" ref="C496">_xlfn.IFS(B496&lt;=30,"Young",B496&lt;=50,"Middle-aged",B496&gt;50,"Older")</f>
        <v>Older</v>
      </c>
      <c r="D496" s="2" t="s">
        <v>10</v>
      </c>
      <c r="E496" s="2" t="s">
        <v>15</v>
      </c>
      <c r="F496" s="2">
        <f t="shared" si="31"/>
        <v>1</v>
      </c>
      <c r="G496" s="2">
        <f t="shared" si="28"/>
        <v>0</v>
      </c>
      <c r="H496" s="2">
        <f t="shared" si="29"/>
        <v>0</v>
      </c>
      <c r="I496" s="2">
        <f t="shared" si="30"/>
        <v>0</v>
      </c>
      <c r="J496" s="2">
        <v>50</v>
      </c>
      <c r="K496" s="2" t="s">
        <v>44</v>
      </c>
      <c r="L496" s="2">
        <v>16</v>
      </c>
      <c r="M496" t="str" cm="1">
        <f t="array" ref="M496">_xlfn.IFS(L496&lt;=14,"Short",L496&lt;=30,"Medium",L496&lt;=45,"Long",L496&lt;=60,"Very Long")</f>
        <v>Medium</v>
      </c>
      <c r="N496" s="2" t="s">
        <v>101</v>
      </c>
      <c r="O496" s="3">
        <v>5.5</v>
      </c>
    </row>
    <row r="497" spans="1:15" x14ac:dyDescent="0.25">
      <c r="A497" s="4" t="s">
        <v>556</v>
      </c>
      <c r="B497" s="5">
        <v>63</v>
      </c>
      <c r="C497" t="str" cm="1">
        <f t="array" ref="C497">_xlfn.IFS(B497&lt;=30,"Young",B497&lt;=50,"Middle-aged",B497&gt;50,"Older")</f>
        <v>Older</v>
      </c>
      <c r="D497" s="5" t="s">
        <v>10</v>
      </c>
      <c r="E497" s="5" t="s">
        <v>33</v>
      </c>
      <c r="F497" s="5">
        <f t="shared" si="31"/>
        <v>0</v>
      </c>
      <c r="G497" s="5">
        <f t="shared" si="28"/>
        <v>0</v>
      </c>
      <c r="H497" s="5">
        <f t="shared" si="29"/>
        <v>0</v>
      </c>
      <c r="I497" s="5">
        <f t="shared" si="30"/>
        <v>1</v>
      </c>
      <c r="J497" s="5">
        <v>500</v>
      </c>
      <c r="K497" s="5" t="s">
        <v>47</v>
      </c>
      <c r="L497" s="5">
        <v>14</v>
      </c>
      <c r="M497" t="str" cm="1">
        <f t="array" ref="M497">_xlfn.IFS(L497&lt;=14,"Short",L497&lt;=30,"Medium",L497&lt;=45,"Long",L497&lt;=60,"Very Long")</f>
        <v>Short</v>
      </c>
      <c r="N497" s="5" t="s">
        <v>225</v>
      </c>
      <c r="O497" s="6">
        <v>5</v>
      </c>
    </row>
    <row r="498" spans="1:15" x14ac:dyDescent="0.25">
      <c r="A498" s="1" t="s">
        <v>557</v>
      </c>
      <c r="B498" s="2">
        <v>41</v>
      </c>
      <c r="C498" t="str" cm="1">
        <f t="array" ref="C498">_xlfn.IFS(B498&lt;=30,"Young",B498&lt;=50,"Middle-aged",B498&gt;50,"Older")</f>
        <v>Middle-aged</v>
      </c>
      <c r="D498" s="2" t="s">
        <v>19</v>
      </c>
      <c r="E498" s="2" t="s">
        <v>33</v>
      </c>
      <c r="F498" s="2">
        <f t="shared" si="31"/>
        <v>0</v>
      </c>
      <c r="G498" s="2">
        <f t="shared" si="28"/>
        <v>0</v>
      </c>
      <c r="H498" s="2">
        <f t="shared" si="29"/>
        <v>0</v>
      </c>
      <c r="I498" s="2">
        <f t="shared" si="30"/>
        <v>1</v>
      </c>
      <c r="J498" s="2">
        <v>50</v>
      </c>
      <c r="K498" s="2" t="s">
        <v>47</v>
      </c>
      <c r="L498" s="2">
        <v>12</v>
      </c>
      <c r="M498" t="str" cm="1">
        <f t="array" ref="M498">_xlfn.IFS(L498&lt;=14,"Short",L498&lt;=30,"Medium",L498&lt;=45,"Long",L498&lt;=60,"Very Long")</f>
        <v>Short</v>
      </c>
      <c r="N498" s="2" t="s">
        <v>13</v>
      </c>
      <c r="O498" s="3">
        <v>4.7</v>
      </c>
    </row>
    <row r="499" spans="1:15" x14ac:dyDescent="0.25">
      <c r="A499" s="4" t="s">
        <v>558</v>
      </c>
      <c r="B499" s="5">
        <v>67</v>
      </c>
      <c r="C499" t="str" cm="1">
        <f t="array" ref="C499">_xlfn.IFS(B499&lt;=30,"Young",B499&lt;=50,"Middle-aged",B499&gt;50,"Older")</f>
        <v>Older</v>
      </c>
      <c r="D499" s="5" t="s">
        <v>10</v>
      </c>
      <c r="E499" s="5" t="s">
        <v>33</v>
      </c>
      <c r="F499" s="5">
        <f t="shared" si="31"/>
        <v>0</v>
      </c>
      <c r="G499" s="5">
        <f t="shared" si="28"/>
        <v>0</v>
      </c>
      <c r="H499" s="5">
        <f t="shared" si="29"/>
        <v>0</v>
      </c>
      <c r="I499" s="5">
        <f t="shared" si="30"/>
        <v>1</v>
      </c>
      <c r="J499" s="5">
        <v>250</v>
      </c>
      <c r="K499" s="5" t="s">
        <v>49</v>
      </c>
      <c r="L499" s="5">
        <v>28</v>
      </c>
      <c r="M499" t="str" cm="1">
        <f t="array" ref="M499">_xlfn.IFS(L499&lt;=14,"Short",L499&lt;=30,"Medium",L499&lt;=45,"Long",L499&lt;=60,"Very Long")</f>
        <v>Medium</v>
      </c>
      <c r="N499" s="5" t="s">
        <v>30</v>
      </c>
      <c r="O499" s="6">
        <v>8.6999999999999993</v>
      </c>
    </row>
    <row r="500" spans="1:15" x14ac:dyDescent="0.25">
      <c r="A500" s="1" t="s">
        <v>559</v>
      </c>
      <c r="B500" s="2">
        <v>49</v>
      </c>
      <c r="C500" t="str" cm="1">
        <f t="array" ref="C500">_xlfn.IFS(B500&lt;=30,"Young",B500&lt;=50,"Middle-aged",B500&gt;50,"Older")</f>
        <v>Middle-aged</v>
      </c>
      <c r="D500" s="2" t="s">
        <v>19</v>
      </c>
      <c r="E500" s="2" t="s">
        <v>20</v>
      </c>
      <c r="F500" s="2">
        <f t="shared" si="31"/>
        <v>0</v>
      </c>
      <c r="G500" s="2">
        <f t="shared" si="28"/>
        <v>1</v>
      </c>
      <c r="H500" s="2">
        <f t="shared" si="29"/>
        <v>0</v>
      </c>
      <c r="I500" s="2">
        <f t="shared" si="30"/>
        <v>0</v>
      </c>
      <c r="J500" s="2">
        <v>500</v>
      </c>
      <c r="K500" s="2" t="s">
        <v>21</v>
      </c>
      <c r="L500" s="2">
        <v>32</v>
      </c>
      <c r="M500" t="str" cm="1">
        <f t="array" ref="M500">_xlfn.IFS(L500&lt;=14,"Short",L500&lt;=30,"Medium",L500&lt;=45,"Long",L500&lt;=60,"Very Long")</f>
        <v>Long</v>
      </c>
      <c r="N500" s="2" t="s">
        <v>22</v>
      </c>
      <c r="O500" s="3">
        <v>6.1</v>
      </c>
    </row>
    <row r="501" spans="1:15" x14ac:dyDescent="0.25">
      <c r="A501" s="4" t="s">
        <v>560</v>
      </c>
      <c r="B501" s="5">
        <v>64</v>
      </c>
      <c r="C501" t="str" cm="1">
        <f t="array" ref="C501">_xlfn.IFS(B501&lt;=30,"Young",B501&lt;=50,"Middle-aged",B501&gt;50,"Older")</f>
        <v>Older</v>
      </c>
      <c r="D501" s="5" t="s">
        <v>19</v>
      </c>
      <c r="E501" s="5" t="s">
        <v>11</v>
      </c>
      <c r="F501" s="5">
        <f t="shared" si="31"/>
        <v>0</v>
      </c>
      <c r="G501" s="5">
        <f t="shared" si="28"/>
        <v>0</v>
      </c>
      <c r="H501" s="5">
        <f t="shared" si="29"/>
        <v>0</v>
      </c>
      <c r="I501" s="5">
        <f t="shared" si="30"/>
        <v>0</v>
      </c>
      <c r="J501" s="5">
        <v>850</v>
      </c>
      <c r="K501" s="5" t="s">
        <v>84</v>
      </c>
      <c r="L501" s="5">
        <v>45</v>
      </c>
      <c r="M501" t="str" cm="1">
        <f t="array" ref="M501">_xlfn.IFS(L501&lt;=14,"Short",L501&lt;=30,"Medium",L501&lt;=45,"Long",L501&lt;=60,"Very Long")</f>
        <v>Long</v>
      </c>
      <c r="N501" s="5" t="s">
        <v>97</v>
      </c>
      <c r="O501" s="6">
        <v>9.3000000000000007</v>
      </c>
    </row>
    <row r="502" spans="1:15" x14ac:dyDescent="0.25">
      <c r="A502" s="1" t="s">
        <v>561</v>
      </c>
      <c r="B502" s="2">
        <v>39</v>
      </c>
      <c r="C502" t="str" cm="1">
        <f t="array" ref="C502">_xlfn.IFS(B502&lt;=30,"Young",B502&lt;=50,"Middle-aged",B502&gt;50,"Older")</f>
        <v>Middle-aged</v>
      </c>
      <c r="D502" s="2" t="s">
        <v>10</v>
      </c>
      <c r="E502" s="2" t="s">
        <v>33</v>
      </c>
      <c r="F502" s="2">
        <f t="shared" si="31"/>
        <v>0</v>
      </c>
      <c r="G502" s="2">
        <f t="shared" si="28"/>
        <v>0</v>
      </c>
      <c r="H502" s="2">
        <f t="shared" si="29"/>
        <v>0</v>
      </c>
      <c r="I502" s="2">
        <f t="shared" si="30"/>
        <v>1</v>
      </c>
      <c r="J502" s="2">
        <v>850</v>
      </c>
      <c r="K502" s="2" t="s">
        <v>49</v>
      </c>
      <c r="L502" s="2">
        <v>40</v>
      </c>
      <c r="M502" t="str" cm="1">
        <f t="array" ref="M502">_xlfn.IFS(L502&lt;=14,"Short",L502&lt;=30,"Medium",L502&lt;=45,"Long",L502&lt;=60,"Very Long")</f>
        <v>Long</v>
      </c>
      <c r="N502" s="2" t="s">
        <v>13</v>
      </c>
      <c r="O502" s="3">
        <v>6.2</v>
      </c>
    </row>
    <row r="503" spans="1:15" x14ac:dyDescent="0.25">
      <c r="A503" s="4" t="s">
        <v>562</v>
      </c>
      <c r="B503" s="5">
        <v>40</v>
      </c>
      <c r="C503" t="str" cm="1">
        <f t="array" ref="C503">_xlfn.IFS(B503&lt;=30,"Young",B503&lt;=50,"Middle-aged",B503&gt;50,"Older")</f>
        <v>Middle-aged</v>
      </c>
      <c r="D503" s="5" t="s">
        <v>10</v>
      </c>
      <c r="E503" s="5" t="s">
        <v>24</v>
      </c>
      <c r="F503" s="5">
        <f t="shared" si="31"/>
        <v>0</v>
      </c>
      <c r="G503" s="5">
        <f t="shared" si="28"/>
        <v>0</v>
      </c>
      <c r="H503" s="5">
        <f t="shared" si="29"/>
        <v>1</v>
      </c>
      <c r="I503" s="5">
        <f t="shared" si="30"/>
        <v>0</v>
      </c>
      <c r="J503" s="5">
        <v>50</v>
      </c>
      <c r="K503" s="5" t="s">
        <v>59</v>
      </c>
      <c r="L503" s="5">
        <v>41</v>
      </c>
      <c r="M503" t="str" cm="1">
        <f t="array" ref="M503">_xlfn.IFS(L503&lt;=14,"Short",L503&lt;=30,"Medium",L503&lt;=45,"Long",L503&lt;=60,"Very Long")</f>
        <v>Long</v>
      </c>
      <c r="N503" s="5" t="s">
        <v>60</v>
      </c>
      <c r="O503" s="6">
        <v>4.4000000000000004</v>
      </c>
    </row>
    <row r="504" spans="1:15" x14ac:dyDescent="0.25">
      <c r="A504" s="1" t="s">
        <v>563</v>
      </c>
      <c r="B504" s="2">
        <v>19</v>
      </c>
      <c r="C504" t="str" cm="1">
        <f t="array" ref="C504">_xlfn.IFS(B504&lt;=30,"Young",B504&lt;=50,"Middle-aged",B504&gt;50,"Older")</f>
        <v>Young</v>
      </c>
      <c r="D504" s="2" t="s">
        <v>10</v>
      </c>
      <c r="E504" s="2" t="s">
        <v>24</v>
      </c>
      <c r="F504" s="2">
        <f t="shared" si="31"/>
        <v>0</v>
      </c>
      <c r="G504" s="2">
        <f t="shared" si="28"/>
        <v>0</v>
      </c>
      <c r="H504" s="2">
        <f t="shared" si="29"/>
        <v>1</v>
      </c>
      <c r="I504" s="2">
        <f t="shared" si="30"/>
        <v>0</v>
      </c>
      <c r="J504" s="2">
        <v>50</v>
      </c>
      <c r="K504" s="2" t="s">
        <v>59</v>
      </c>
      <c r="L504" s="2">
        <v>25</v>
      </c>
      <c r="M504" t="str" cm="1">
        <f t="array" ref="M504">_xlfn.IFS(L504&lt;=14,"Short",L504&lt;=30,"Medium",L504&lt;=45,"Long",L504&lt;=60,"Very Long")</f>
        <v>Medium</v>
      </c>
      <c r="N504" s="2" t="s">
        <v>74</v>
      </c>
      <c r="O504" s="3">
        <v>5.3</v>
      </c>
    </row>
    <row r="505" spans="1:15" x14ac:dyDescent="0.25">
      <c r="A505" s="4" t="s">
        <v>564</v>
      </c>
      <c r="B505" s="5">
        <v>44</v>
      </c>
      <c r="C505" t="str" cm="1">
        <f t="array" ref="C505">_xlfn.IFS(B505&lt;=30,"Young",B505&lt;=50,"Middle-aged",B505&gt;50,"Older")</f>
        <v>Middle-aged</v>
      </c>
      <c r="D505" s="5" t="s">
        <v>19</v>
      </c>
      <c r="E505" s="5" t="s">
        <v>15</v>
      </c>
      <c r="F505" s="5">
        <f t="shared" si="31"/>
        <v>1</v>
      </c>
      <c r="G505" s="5">
        <f t="shared" si="28"/>
        <v>0</v>
      </c>
      <c r="H505" s="5">
        <f t="shared" si="29"/>
        <v>0</v>
      </c>
      <c r="I505" s="5">
        <f t="shared" si="30"/>
        <v>0</v>
      </c>
      <c r="J505" s="5">
        <v>500</v>
      </c>
      <c r="K505" s="5" t="s">
        <v>63</v>
      </c>
      <c r="L505" s="5">
        <v>12</v>
      </c>
      <c r="M505" t="str" cm="1">
        <f t="array" ref="M505">_xlfn.IFS(L505&lt;=14,"Short",L505&lt;=30,"Medium",L505&lt;=45,"Long",L505&lt;=60,"Very Long")</f>
        <v>Short</v>
      </c>
      <c r="N505" s="5" t="s">
        <v>64</v>
      </c>
      <c r="O505" s="6">
        <v>8.9</v>
      </c>
    </row>
    <row r="506" spans="1:15" x14ac:dyDescent="0.25">
      <c r="A506" s="1" t="s">
        <v>565</v>
      </c>
      <c r="B506" s="2">
        <v>59</v>
      </c>
      <c r="C506" t="str" cm="1">
        <f t="array" ref="C506">_xlfn.IFS(B506&lt;=30,"Young",B506&lt;=50,"Middle-aged",B506&gt;50,"Older")</f>
        <v>Older</v>
      </c>
      <c r="D506" s="2" t="s">
        <v>10</v>
      </c>
      <c r="E506" s="2" t="s">
        <v>11</v>
      </c>
      <c r="F506" s="2">
        <f t="shared" si="31"/>
        <v>0</v>
      </c>
      <c r="G506" s="2">
        <f t="shared" si="28"/>
        <v>0</v>
      </c>
      <c r="H506" s="2">
        <f t="shared" si="29"/>
        <v>0</v>
      </c>
      <c r="I506" s="2">
        <f t="shared" si="30"/>
        <v>0</v>
      </c>
      <c r="J506" s="2">
        <v>850</v>
      </c>
      <c r="K506" s="2" t="s">
        <v>12</v>
      </c>
      <c r="L506" s="2">
        <v>59</v>
      </c>
      <c r="M506" t="str" cm="1">
        <f t="array" ref="M506">_xlfn.IFS(L506&lt;=14,"Short",L506&lt;=30,"Medium",L506&lt;=45,"Long",L506&lt;=60,"Very Long")</f>
        <v>Very Long</v>
      </c>
      <c r="N506" s="2" t="s">
        <v>120</v>
      </c>
      <c r="O506" s="3">
        <v>6.8</v>
      </c>
    </row>
    <row r="507" spans="1:15" x14ac:dyDescent="0.25">
      <c r="A507" s="4" t="s">
        <v>566</v>
      </c>
      <c r="B507" s="5">
        <v>19</v>
      </c>
      <c r="C507" t="str" cm="1">
        <f t="array" ref="C507">_xlfn.IFS(B507&lt;=30,"Young",B507&lt;=50,"Middle-aged",B507&gt;50,"Older")</f>
        <v>Young</v>
      </c>
      <c r="D507" s="5" t="s">
        <v>19</v>
      </c>
      <c r="E507" s="5" t="s">
        <v>33</v>
      </c>
      <c r="F507" s="5">
        <f t="shared" si="31"/>
        <v>0</v>
      </c>
      <c r="G507" s="5">
        <f t="shared" si="28"/>
        <v>0</v>
      </c>
      <c r="H507" s="5">
        <f t="shared" si="29"/>
        <v>0</v>
      </c>
      <c r="I507" s="5">
        <f t="shared" si="30"/>
        <v>1</v>
      </c>
      <c r="J507" s="5">
        <v>850</v>
      </c>
      <c r="K507" s="5" t="s">
        <v>34</v>
      </c>
      <c r="L507" s="5">
        <v>13</v>
      </c>
      <c r="M507" t="str" cm="1">
        <f t="array" ref="M507">_xlfn.IFS(L507&lt;=14,"Short",L507&lt;=30,"Medium",L507&lt;=45,"Long",L507&lt;=60,"Very Long")</f>
        <v>Short</v>
      </c>
      <c r="N507" s="5" t="s">
        <v>97</v>
      </c>
      <c r="O507" s="6">
        <v>6.2</v>
      </c>
    </row>
    <row r="508" spans="1:15" x14ac:dyDescent="0.25">
      <c r="A508" s="1" t="s">
        <v>567</v>
      </c>
      <c r="B508" s="2">
        <v>43</v>
      </c>
      <c r="C508" t="str" cm="1">
        <f t="array" ref="C508">_xlfn.IFS(B508&lt;=30,"Young",B508&lt;=50,"Middle-aged",B508&gt;50,"Older")</f>
        <v>Middle-aged</v>
      </c>
      <c r="D508" s="2" t="s">
        <v>19</v>
      </c>
      <c r="E508" s="2" t="s">
        <v>24</v>
      </c>
      <c r="F508" s="2">
        <f t="shared" si="31"/>
        <v>0</v>
      </c>
      <c r="G508" s="2">
        <f t="shared" si="28"/>
        <v>0</v>
      </c>
      <c r="H508" s="2">
        <f t="shared" si="29"/>
        <v>1</v>
      </c>
      <c r="I508" s="2">
        <f t="shared" si="30"/>
        <v>0</v>
      </c>
      <c r="J508" s="2">
        <v>100</v>
      </c>
      <c r="K508" s="2" t="s">
        <v>25</v>
      </c>
      <c r="L508" s="2">
        <v>51</v>
      </c>
      <c r="M508" t="str" cm="1">
        <f t="array" ref="M508">_xlfn.IFS(L508&lt;=14,"Short",L508&lt;=30,"Medium",L508&lt;=45,"Long",L508&lt;=60,"Very Long")</f>
        <v>Very Long</v>
      </c>
      <c r="N508" s="2" t="s">
        <v>13</v>
      </c>
      <c r="O508" s="3">
        <v>7.2</v>
      </c>
    </row>
    <row r="509" spans="1:15" x14ac:dyDescent="0.25">
      <c r="A509" s="4" t="s">
        <v>568</v>
      </c>
      <c r="B509" s="5">
        <v>34</v>
      </c>
      <c r="C509" t="str" cm="1">
        <f t="array" ref="C509">_xlfn.IFS(B509&lt;=30,"Young",B509&lt;=50,"Middle-aged",B509&gt;50,"Older")</f>
        <v>Middle-aged</v>
      </c>
      <c r="D509" s="5" t="s">
        <v>19</v>
      </c>
      <c r="E509" s="5" t="s">
        <v>11</v>
      </c>
      <c r="F509" s="5">
        <f t="shared" si="31"/>
        <v>0</v>
      </c>
      <c r="G509" s="5">
        <f t="shared" si="28"/>
        <v>0</v>
      </c>
      <c r="H509" s="5">
        <f t="shared" si="29"/>
        <v>0</v>
      </c>
      <c r="I509" s="5">
        <f t="shared" si="30"/>
        <v>0</v>
      </c>
      <c r="J509" s="5">
        <v>250</v>
      </c>
      <c r="K509" s="5" t="s">
        <v>84</v>
      </c>
      <c r="L509" s="5">
        <v>19</v>
      </c>
      <c r="M509" t="str" cm="1">
        <f t="array" ref="M509">_xlfn.IFS(L509&lt;=14,"Short",L509&lt;=30,"Medium",L509&lt;=45,"Long",L509&lt;=60,"Very Long")</f>
        <v>Medium</v>
      </c>
      <c r="N509" s="5" t="s">
        <v>97</v>
      </c>
      <c r="O509" s="6">
        <v>7.8</v>
      </c>
    </row>
    <row r="510" spans="1:15" x14ac:dyDescent="0.25">
      <c r="A510" s="1" t="s">
        <v>569</v>
      </c>
      <c r="B510" s="2">
        <v>57</v>
      </c>
      <c r="C510" t="str" cm="1">
        <f t="array" ref="C510">_xlfn.IFS(B510&lt;=30,"Young",B510&lt;=50,"Middle-aged",B510&gt;50,"Older")</f>
        <v>Older</v>
      </c>
      <c r="D510" s="2" t="s">
        <v>10</v>
      </c>
      <c r="E510" s="2" t="s">
        <v>15</v>
      </c>
      <c r="F510" s="2">
        <f t="shared" si="31"/>
        <v>1</v>
      </c>
      <c r="G510" s="2">
        <f t="shared" si="28"/>
        <v>0</v>
      </c>
      <c r="H510" s="2">
        <f t="shared" si="29"/>
        <v>0</v>
      </c>
      <c r="I510" s="2">
        <f t="shared" si="30"/>
        <v>0</v>
      </c>
      <c r="J510" s="2">
        <v>500</v>
      </c>
      <c r="K510" s="2" t="s">
        <v>63</v>
      </c>
      <c r="L510" s="2">
        <v>52</v>
      </c>
      <c r="M510" t="str" cm="1">
        <f t="array" ref="M510">_xlfn.IFS(L510&lt;=14,"Short",L510&lt;=30,"Medium",L510&lt;=45,"Long",L510&lt;=60,"Very Long")</f>
        <v>Very Long</v>
      </c>
      <c r="N510" s="2" t="s">
        <v>41</v>
      </c>
      <c r="O510" s="3">
        <v>8.6999999999999993</v>
      </c>
    </row>
    <row r="511" spans="1:15" x14ac:dyDescent="0.25">
      <c r="A511" s="4" t="s">
        <v>570</v>
      </c>
      <c r="B511" s="5">
        <v>50</v>
      </c>
      <c r="C511" t="str" cm="1">
        <f t="array" ref="C511">_xlfn.IFS(B511&lt;=30,"Young",B511&lt;=50,"Middle-aged",B511&gt;50,"Older")</f>
        <v>Middle-aged</v>
      </c>
      <c r="D511" s="5" t="s">
        <v>10</v>
      </c>
      <c r="E511" s="5" t="s">
        <v>20</v>
      </c>
      <c r="F511" s="5">
        <f t="shared" si="31"/>
        <v>0</v>
      </c>
      <c r="G511" s="5">
        <f t="shared" si="28"/>
        <v>1</v>
      </c>
      <c r="H511" s="5">
        <f t="shared" si="29"/>
        <v>0</v>
      </c>
      <c r="I511" s="5">
        <f t="shared" si="30"/>
        <v>0</v>
      </c>
      <c r="J511" s="5">
        <v>100</v>
      </c>
      <c r="K511" s="5" t="s">
        <v>21</v>
      </c>
      <c r="L511" s="5">
        <v>50</v>
      </c>
      <c r="M511" t="str" cm="1">
        <f t="array" ref="M511">_xlfn.IFS(L511&lt;=14,"Short",L511&lt;=30,"Medium",L511&lt;=45,"Long",L511&lt;=60,"Very Long")</f>
        <v>Very Long</v>
      </c>
      <c r="N511" s="5" t="s">
        <v>22</v>
      </c>
      <c r="O511" s="6">
        <v>9.1999999999999993</v>
      </c>
    </row>
    <row r="512" spans="1:15" x14ac:dyDescent="0.25">
      <c r="A512" s="1" t="s">
        <v>571</v>
      </c>
      <c r="B512" s="2">
        <v>26</v>
      </c>
      <c r="C512" t="str" cm="1">
        <f t="array" ref="C512">_xlfn.IFS(B512&lt;=30,"Young",B512&lt;=50,"Middle-aged",B512&gt;50,"Older")</f>
        <v>Young</v>
      </c>
      <c r="D512" s="2" t="s">
        <v>19</v>
      </c>
      <c r="E512" s="2" t="s">
        <v>11</v>
      </c>
      <c r="F512" s="2">
        <f t="shared" si="31"/>
        <v>0</v>
      </c>
      <c r="G512" s="2">
        <f t="shared" si="28"/>
        <v>0</v>
      </c>
      <c r="H512" s="2">
        <f t="shared" si="29"/>
        <v>0</v>
      </c>
      <c r="I512" s="2">
        <f t="shared" si="30"/>
        <v>0</v>
      </c>
      <c r="J512" s="2">
        <v>50</v>
      </c>
      <c r="K512" s="2" t="s">
        <v>51</v>
      </c>
      <c r="L512" s="2">
        <v>44</v>
      </c>
      <c r="M512" t="str" cm="1">
        <f t="array" ref="M512">_xlfn.IFS(L512&lt;=14,"Short",L512&lt;=30,"Medium",L512&lt;=45,"Long",L512&lt;=60,"Very Long")</f>
        <v>Long</v>
      </c>
      <c r="N512" s="2" t="s">
        <v>52</v>
      </c>
      <c r="O512" s="3">
        <v>6.5</v>
      </c>
    </row>
    <row r="513" spans="1:15" x14ac:dyDescent="0.25">
      <c r="A513" s="4" t="s">
        <v>572</v>
      </c>
      <c r="B513" s="5">
        <v>60</v>
      </c>
      <c r="C513" t="str" cm="1">
        <f t="array" ref="C513">_xlfn.IFS(B513&lt;=30,"Young",B513&lt;=50,"Middle-aged",B513&gt;50,"Older")</f>
        <v>Older</v>
      </c>
      <c r="D513" s="5" t="s">
        <v>10</v>
      </c>
      <c r="E513" s="5" t="s">
        <v>11</v>
      </c>
      <c r="F513" s="5">
        <f t="shared" si="31"/>
        <v>0</v>
      </c>
      <c r="G513" s="5">
        <f t="shared" si="28"/>
        <v>0</v>
      </c>
      <c r="H513" s="5">
        <f t="shared" si="29"/>
        <v>0</v>
      </c>
      <c r="I513" s="5">
        <f t="shared" si="30"/>
        <v>0</v>
      </c>
      <c r="J513" s="5">
        <v>250</v>
      </c>
      <c r="K513" s="5" t="s">
        <v>51</v>
      </c>
      <c r="L513" s="5">
        <v>22</v>
      </c>
      <c r="M513" t="str" cm="1">
        <f t="array" ref="M513">_xlfn.IFS(L513&lt;=14,"Short",L513&lt;=30,"Medium",L513&lt;=45,"Long",L513&lt;=60,"Very Long")</f>
        <v>Medium</v>
      </c>
      <c r="N513" s="5" t="s">
        <v>52</v>
      </c>
      <c r="O513" s="6">
        <v>5</v>
      </c>
    </row>
    <row r="514" spans="1:15" x14ac:dyDescent="0.25">
      <c r="A514" s="1" t="s">
        <v>573</v>
      </c>
      <c r="B514" s="2">
        <v>71</v>
      </c>
      <c r="C514" t="str" cm="1">
        <f t="array" ref="C514">_xlfn.IFS(B514&lt;=30,"Young",B514&lt;=50,"Middle-aged",B514&gt;50,"Older")</f>
        <v>Older</v>
      </c>
      <c r="D514" s="2" t="s">
        <v>10</v>
      </c>
      <c r="E514" s="2" t="s">
        <v>20</v>
      </c>
      <c r="F514" s="2">
        <f t="shared" si="31"/>
        <v>0</v>
      </c>
      <c r="G514" s="2">
        <f t="shared" ref="G514:G577" si="32">IF($E514="Depression",1,0)</f>
        <v>1</v>
      </c>
      <c r="H514" s="2">
        <f t="shared" ref="H514:H577" si="33">IF($E514="Diabetes",1,0)</f>
        <v>0</v>
      </c>
      <c r="I514" s="2">
        <f t="shared" ref="I514:I577" si="34">IF($E514="Pain relief",1,0)</f>
        <v>0</v>
      </c>
      <c r="J514" s="2">
        <v>50</v>
      </c>
      <c r="K514" s="2" t="s">
        <v>21</v>
      </c>
      <c r="L514" s="2">
        <v>46</v>
      </c>
      <c r="M514" t="str" cm="1">
        <f t="array" ref="M514">_xlfn.IFS(L514&lt;=14,"Short",L514&lt;=30,"Medium",L514&lt;=45,"Long",L514&lt;=60,"Very Long")</f>
        <v>Very Long</v>
      </c>
      <c r="N514" s="2" t="s">
        <v>22</v>
      </c>
      <c r="O514" s="3">
        <v>6.4</v>
      </c>
    </row>
    <row r="515" spans="1:15" x14ac:dyDescent="0.25">
      <c r="A515" s="4" t="s">
        <v>574</v>
      </c>
      <c r="B515" s="5">
        <v>65</v>
      </c>
      <c r="C515" t="str" cm="1">
        <f t="array" ref="C515">_xlfn.IFS(B515&lt;=30,"Young",B515&lt;=50,"Middle-aged",B515&gt;50,"Older")</f>
        <v>Older</v>
      </c>
      <c r="D515" s="5" t="s">
        <v>10</v>
      </c>
      <c r="E515" s="5" t="s">
        <v>11</v>
      </c>
      <c r="F515" s="5">
        <f t="shared" ref="F515:F578" si="35">IF($E515="Hypertension",1,0)</f>
        <v>0</v>
      </c>
      <c r="G515" s="5">
        <f t="shared" si="32"/>
        <v>0</v>
      </c>
      <c r="H515" s="5">
        <f t="shared" si="33"/>
        <v>0</v>
      </c>
      <c r="I515" s="5">
        <f t="shared" si="34"/>
        <v>0</v>
      </c>
      <c r="J515" s="5">
        <v>850</v>
      </c>
      <c r="K515" s="5" t="s">
        <v>51</v>
      </c>
      <c r="L515" s="5">
        <v>24</v>
      </c>
      <c r="M515" t="str" cm="1">
        <f t="array" ref="M515">_xlfn.IFS(L515&lt;=14,"Short",L515&lt;=30,"Medium",L515&lt;=45,"Long",L515&lt;=60,"Very Long")</f>
        <v>Medium</v>
      </c>
      <c r="N515" s="5" t="s">
        <v>13</v>
      </c>
      <c r="O515" s="6">
        <v>7.4</v>
      </c>
    </row>
    <row r="516" spans="1:15" x14ac:dyDescent="0.25">
      <c r="A516" s="1" t="s">
        <v>575</v>
      </c>
      <c r="B516" s="2">
        <v>56</v>
      </c>
      <c r="C516" t="str" cm="1">
        <f t="array" ref="C516">_xlfn.IFS(B516&lt;=30,"Young",B516&lt;=50,"Middle-aged",B516&gt;50,"Older")</f>
        <v>Older</v>
      </c>
      <c r="D516" s="2" t="s">
        <v>19</v>
      </c>
      <c r="E516" s="2" t="s">
        <v>15</v>
      </c>
      <c r="F516" s="2">
        <f t="shared" si="35"/>
        <v>1</v>
      </c>
      <c r="G516" s="2">
        <f t="shared" si="32"/>
        <v>0</v>
      </c>
      <c r="H516" s="2">
        <f t="shared" si="33"/>
        <v>0</v>
      </c>
      <c r="I516" s="2">
        <f t="shared" si="34"/>
        <v>0</v>
      </c>
      <c r="J516" s="2">
        <v>850</v>
      </c>
      <c r="K516" s="2" t="s">
        <v>63</v>
      </c>
      <c r="L516" s="2">
        <v>10</v>
      </c>
      <c r="M516" t="str" cm="1">
        <f t="array" ref="M516">_xlfn.IFS(L516&lt;=14,"Short",L516&lt;=30,"Medium",L516&lt;=45,"Long",L516&lt;=60,"Very Long")</f>
        <v>Short</v>
      </c>
      <c r="N516" s="2" t="s">
        <v>64</v>
      </c>
      <c r="O516" s="3">
        <v>5.6</v>
      </c>
    </row>
    <row r="517" spans="1:15" x14ac:dyDescent="0.25">
      <c r="A517" s="4" t="s">
        <v>576</v>
      </c>
      <c r="B517" s="5">
        <v>46</v>
      </c>
      <c r="C517" t="str" cm="1">
        <f t="array" ref="C517">_xlfn.IFS(B517&lt;=30,"Young",B517&lt;=50,"Middle-aged",B517&gt;50,"Older")</f>
        <v>Middle-aged</v>
      </c>
      <c r="D517" s="5" t="s">
        <v>19</v>
      </c>
      <c r="E517" s="5" t="s">
        <v>15</v>
      </c>
      <c r="F517" s="5">
        <f t="shared" si="35"/>
        <v>1</v>
      </c>
      <c r="G517" s="5">
        <f t="shared" si="32"/>
        <v>0</v>
      </c>
      <c r="H517" s="5">
        <f t="shared" si="33"/>
        <v>0</v>
      </c>
      <c r="I517" s="5">
        <f t="shared" si="34"/>
        <v>0</v>
      </c>
      <c r="J517" s="5">
        <v>850</v>
      </c>
      <c r="K517" s="5" t="s">
        <v>63</v>
      </c>
      <c r="L517" s="5">
        <v>16</v>
      </c>
      <c r="M517" t="str" cm="1">
        <f t="array" ref="M517">_xlfn.IFS(L517&lt;=14,"Short",L517&lt;=30,"Medium",L517&lt;=45,"Long",L517&lt;=60,"Very Long")</f>
        <v>Medium</v>
      </c>
      <c r="N517" s="5" t="s">
        <v>110</v>
      </c>
      <c r="O517" s="6">
        <v>5.6</v>
      </c>
    </row>
    <row r="518" spans="1:15" x14ac:dyDescent="0.25">
      <c r="A518" s="1" t="s">
        <v>577</v>
      </c>
      <c r="B518" s="2">
        <v>59</v>
      </c>
      <c r="C518" t="str" cm="1">
        <f t="array" ref="C518">_xlfn.IFS(B518&lt;=30,"Young",B518&lt;=50,"Middle-aged",B518&gt;50,"Older")</f>
        <v>Older</v>
      </c>
      <c r="D518" s="2" t="s">
        <v>10</v>
      </c>
      <c r="E518" s="2" t="s">
        <v>20</v>
      </c>
      <c r="F518" s="2">
        <f t="shared" si="35"/>
        <v>0</v>
      </c>
      <c r="G518" s="2">
        <f t="shared" si="32"/>
        <v>1</v>
      </c>
      <c r="H518" s="2">
        <f t="shared" si="33"/>
        <v>0</v>
      </c>
      <c r="I518" s="2">
        <f t="shared" si="34"/>
        <v>0</v>
      </c>
      <c r="J518" s="2">
        <v>500</v>
      </c>
      <c r="K518" s="2" t="s">
        <v>37</v>
      </c>
      <c r="L518" s="2">
        <v>6</v>
      </c>
      <c r="M518" t="str" cm="1">
        <f t="array" ref="M518">_xlfn.IFS(L518&lt;=14,"Short",L518&lt;=30,"Medium",L518&lt;=45,"Long",L518&lt;=60,"Very Long")</f>
        <v>Short</v>
      </c>
      <c r="N518" s="2" t="s">
        <v>173</v>
      </c>
      <c r="O518" s="3">
        <v>7.5</v>
      </c>
    </row>
    <row r="519" spans="1:15" x14ac:dyDescent="0.25">
      <c r="A519" s="4" t="s">
        <v>578</v>
      </c>
      <c r="B519" s="5">
        <v>72</v>
      </c>
      <c r="C519" t="str" cm="1">
        <f t="array" ref="C519">_xlfn.IFS(B519&lt;=30,"Young",B519&lt;=50,"Middle-aged",B519&gt;50,"Older")</f>
        <v>Older</v>
      </c>
      <c r="D519" s="5" t="s">
        <v>19</v>
      </c>
      <c r="E519" s="5" t="s">
        <v>33</v>
      </c>
      <c r="F519" s="5">
        <f t="shared" si="35"/>
        <v>0</v>
      </c>
      <c r="G519" s="5">
        <f t="shared" si="32"/>
        <v>0</v>
      </c>
      <c r="H519" s="5">
        <f t="shared" si="33"/>
        <v>0</v>
      </c>
      <c r="I519" s="5">
        <f t="shared" si="34"/>
        <v>1</v>
      </c>
      <c r="J519" s="5">
        <v>50</v>
      </c>
      <c r="K519" s="5" t="s">
        <v>49</v>
      </c>
      <c r="L519" s="5">
        <v>11</v>
      </c>
      <c r="M519" t="str" cm="1">
        <f t="array" ref="M519">_xlfn.IFS(L519&lt;=14,"Short",L519&lt;=30,"Medium",L519&lt;=45,"Long",L519&lt;=60,"Very Long")</f>
        <v>Short</v>
      </c>
      <c r="N519" s="5" t="s">
        <v>30</v>
      </c>
      <c r="O519" s="6">
        <v>6.9</v>
      </c>
    </row>
    <row r="520" spans="1:15" x14ac:dyDescent="0.25">
      <c r="A520" s="1" t="s">
        <v>579</v>
      </c>
      <c r="B520" s="2">
        <v>43</v>
      </c>
      <c r="C520" t="str" cm="1">
        <f t="array" ref="C520">_xlfn.IFS(B520&lt;=30,"Young",B520&lt;=50,"Middle-aged",B520&gt;50,"Older")</f>
        <v>Middle-aged</v>
      </c>
      <c r="D520" s="2" t="s">
        <v>10</v>
      </c>
      <c r="E520" s="2" t="s">
        <v>24</v>
      </c>
      <c r="F520" s="2">
        <f t="shared" si="35"/>
        <v>0</v>
      </c>
      <c r="G520" s="2">
        <f t="shared" si="32"/>
        <v>0</v>
      </c>
      <c r="H520" s="2">
        <f t="shared" si="33"/>
        <v>1</v>
      </c>
      <c r="I520" s="2">
        <f t="shared" si="34"/>
        <v>0</v>
      </c>
      <c r="J520" s="2">
        <v>850</v>
      </c>
      <c r="K520" s="2" t="s">
        <v>59</v>
      </c>
      <c r="L520" s="2">
        <v>20</v>
      </c>
      <c r="M520" t="str" cm="1">
        <f t="array" ref="M520">_xlfn.IFS(L520&lt;=14,"Short",L520&lt;=30,"Medium",L520&lt;=45,"Long",L520&lt;=60,"Very Long")</f>
        <v>Medium</v>
      </c>
      <c r="N520" s="2" t="s">
        <v>60</v>
      </c>
      <c r="O520" s="3">
        <v>7</v>
      </c>
    </row>
    <row r="521" spans="1:15" x14ac:dyDescent="0.25">
      <c r="A521" s="4" t="s">
        <v>580</v>
      </c>
      <c r="B521" s="5">
        <v>52</v>
      </c>
      <c r="C521" t="str" cm="1">
        <f t="array" ref="C521">_xlfn.IFS(B521&lt;=30,"Young",B521&lt;=50,"Middle-aged",B521&gt;50,"Older")</f>
        <v>Older</v>
      </c>
      <c r="D521" s="5" t="s">
        <v>10</v>
      </c>
      <c r="E521" s="5" t="s">
        <v>33</v>
      </c>
      <c r="F521" s="5">
        <f t="shared" si="35"/>
        <v>0</v>
      </c>
      <c r="G521" s="5">
        <f t="shared" si="32"/>
        <v>0</v>
      </c>
      <c r="H521" s="5">
        <f t="shared" si="33"/>
        <v>0</v>
      </c>
      <c r="I521" s="5">
        <f t="shared" si="34"/>
        <v>1</v>
      </c>
      <c r="J521" s="5">
        <v>100</v>
      </c>
      <c r="K521" s="5" t="s">
        <v>34</v>
      </c>
      <c r="L521" s="5">
        <v>7</v>
      </c>
      <c r="M521" t="str" cm="1">
        <f t="array" ref="M521">_xlfn.IFS(L521&lt;=14,"Short",L521&lt;=30,"Medium",L521&lt;=45,"Long",L521&lt;=60,"Very Long")</f>
        <v>Short</v>
      </c>
      <c r="N521" s="5" t="s">
        <v>95</v>
      </c>
      <c r="O521" s="6">
        <v>5.9</v>
      </c>
    </row>
    <row r="522" spans="1:15" x14ac:dyDescent="0.25">
      <c r="A522" s="1" t="s">
        <v>581</v>
      </c>
      <c r="B522" s="2">
        <v>67</v>
      </c>
      <c r="C522" t="str" cm="1">
        <f t="array" ref="C522">_xlfn.IFS(B522&lt;=30,"Young",B522&lt;=50,"Middle-aged",B522&gt;50,"Older")</f>
        <v>Older</v>
      </c>
      <c r="D522" s="2" t="s">
        <v>10</v>
      </c>
      <c r="E522" s="2" t="s">
        <v>11</v>
      </c>
      <c r="F522" s="2">
        <f t="shared" si="35"/>
        <v>0</v>
      </c>
      <c r="G522" s="2">
        <f t="shared" si="32"/>
        <v>0</v>
      </c>
      <c r="H522" s="2">
        <f t="shared" si="33"/>
        <v>0</v>
      </c>
      <c r="I522" s="2">
        <f t="shared" si="34"/>
        <v>0</v>
      </c>
      <c r="J522" s="2">
        <v>500</v>
      </c>
      <c r="K522" s="2" t="s">
        <v>12</v>
      </c>
      <c r="L522" s="2">
        <v>49</v>
      </c>
      <c r="M522" t="str" cm="1">
        <f t="array" ref="M522">_xlfn.IFS(L522&lt;=14,"Short",L522&lt;=30,"Medium",L522&lt;=45,"Long",L522&lt;=60,"Very Long")</f>
        <v>Very Long</v>
      </c>
      <c r="N522" s="2" t="s">
        <v>13</v>
      </c>
      <c r="O522" s="3">
        <v>6.7</v>
      </c>
    </row>
    <row r="523" spans="1:15" x14ac:dyDescent="0.25">
      <c r="A523" s="4" t="s">
        <v>582</v>
      </c>
      <c r="B523" s="5">
        <v>42</v>
      </c>
      <c r="C523" t="str" cm="1">
        <f t="array" ref="C523">_xlfn.IFS(B523&lt;=30,"Young",B523&lt;=50,"Middle-aged",B523&gt;50,"Older")</f>
        <v>Middle-aged</v>
      </c>
      <c r="D523" s="5" t="s">
        <v>10</v>
      </c>
      <c r="E523" s="5" t="s">
        <v>24</v>
      </c>
      <c r="F523" s="5">
        <f t="shared" si="35"/>
        <v>0</v>
      </c>
      <c r="G523" s="5">
        <f t="shared" si="32"/>
        <v>0</v>
      </c>
      <c r="H523" s="5">
        <f t="shared" si="33"/>
        <v>1</v>
      </c>
      <c r="I523" s="5">
        <f t="shared" si="34"/>
        <v>0</v>
      </c>
      <c r="J523" s="5">
        <v>500</v>
      </c>
      <c r="K523" s="5" t="s">
        <v>59</v>
      </c>
      <c r="L523" s="5">
        <v>7</v>
      </c>
      <c r="M523" t="str" cm="1">
        <f t="array" ref="M523">_xlfn.IFS(L523&lt;=14,"Short",L523&lt;=30,"Medium",L523&lt;=45,"Long",L523&lt;=60,"Very Long")</f>
        <v>Short</v>
      </c>
      <c r="N523" s="5" t="s">
        <v>150</v>
      </c>
      <c r="O523" s="6">
        <v>5.6</v>
      </c>
    </row>
    <row r="524" spans="1:15" x14ac:dyDescent="0.25">
      <c r="A524" s="1" t="s">
        <v>583</v>
      </c>
      <c r="B524" s="2">
        <v>41</v>
      </c>
      <c r="C524" t="str" cm="1">
        <f t="array" ref="C524">_xlfn.IFS(B524&lt;=30,"Young",B524&lt;=50,"Middle-aged",B524&gt;50,"Older")</f>
        <v>Middle-aged</v>
      </c>
      <c r="D524" s="2" t="s">
        <v>19</v>
      </c>
      <c r="E524" s="2" t="s">
        <v>20</v>
      </c>
      <c r="F524" s="2">
        <f t="shared" si="35"/>
        <v>0</v>
      </c>
      <c r="G524" s="2">
        <f t="shared" si="32"/>
        <v>1</v>
      </c>
      <c r="H524" s="2">
        <f t="shared" si="33"/>
        <v>0</v>
      </c>
      <c r="I524" s="2">
        <f t="shared" si="34"/>
        <v>0</v>
      </c>
      <c r="J524" s="2">
        <v>500</v>
      </c>
      <c r="K524" s="2" t="s">
        <v>21</v>
      </c>
      <c r="L524" s="2">
        <v>31</v>
      </c>
      <c r="M524" t="str" cm="1">
        <f t="array" ref="M524">_xlfn.IFS(L524&lt;=14,"Short",L524&lt;=30,"Medium",L524&lt;=45,"Long",L524&lt;=60,"Very Long")</f>
        <v>Long</v>
      </c>
      <c r="N524" s="2" t="s">
        <v>28</v>
      </c>
      <c r="O524" s="3">
        <v>8.3000000000000007</v>
      </c>
    </row>
    <row r="525" spans="1:15" x14ac:dyDescent="0.25">
      <c r="A525" s="4" t="s">
        <v>584</v>
      </c>
      <c r="B525" s="5">
        <v>30</v>
      </c>
      <c r="C525" t="str" cm="1">
        <f t="array" ref="C525">_xlfn.IFS(B525&lt;=30,"Young",B525&lt;=50,"Middle-aged",B525&gt;50,"Older")</f>
        <v>Young</v>
      </c>
      <c r="D525" s="5" t="s">
        <v>19</v>
      </c>
      <c r="E525" s="5" t="s">
        <v>20</v>
      </c>
      <c r="F525" s="5">
        <f t="shared" si="35"/>
        <v>0</v>
      </c>
      <c r="G525" s="5">
        <f t="shared" si="32"/>
        <v>1</v>
      </c>
      <c r="H525" s="5">
        <f t="shared" si="33"/>
        <v>0</v>
      </c>
      <c r="I525" s="5">
        <f t="shared" si="34"/>
        <v>0</v>
      </c>
      <c r="J525" s="5">
        <v>850</v>
      </c>
      <c r="K525" s="5" t="s">
        <v>55</v>
      </c>
      <c r="L525" s="5">
        <v>54</v>
      </c>
      <c r="M525" t="str" cm="1">
        <f t="array" ref="M525">_xlfn.IFS(L525&lt;=14,"Short",L525&lt;=30,"Medium",L525&lt;=45,"Long",L525&lt;=60,"Very Long")</f>
        <v>Very Long</v>
      </c>
      <c r="N525" s="5" t="s">
        <v>22</v>
      </c>
      <c r="O525" s="6">
        <v>8.6</v>
      </c>
    </row>
    <row r="526" spans="1:15" x14ac:dyDescent="0.25">
      <c r="A526" s="1" t="s">
        <v>585</v>
      </c>
      <c r="B526" s="2">
        <v>77</v>
      </c>
      <c r="C526" t="str" cm="1">
        <f t="array" ref="C526">_xlfn.IFS(B526&lt;=30,"Young",B526&lt;=50,"Middle-aged",B526&gt;50,"Older")</f>
        <v>Older</v>
      </c>
      <c r="D526" s="2" t="s">
        <v>19</v>
      </c>
      <c r="E526" s="2" t="s">
        <v>24</v>
      </c>
      <c r="F526" s="2">
        <f t="shared" si="35"/>
        <v>0</v>
      </c>
      <c r="G526" s="2">
        <f t="shared" si="32"/>
        <v>0</v>
      </c>
      <c r="H526" s="2">
        <f t="shared" si="33"/>
        <v>1</v>
      </c>
      <c r="I526" s="2">
        <f t="shared" si="34"/>
        <v>0</v>
      </c>
      <c r="J526" s="2">
        <v>500</v>
      </c>
      <c r="K526" s="2" t="s">
        <v>25</v>
      </c>
      <c r="L526" s="2">
        <v>47</v>
      </c>
      <c r="M526" t="str" cm="1">
        <f t="array" ref="M526">_xlfn.IFS(L526&lt;=14,"Short",L526&lt;=30,"Medium",L526&lt;=45,"Long",L526&lt;=60,"Very Long")</f>
        <v>Very Long</v>
      </c>
      <c r="N526" s="2" t="s">
        <v>13</v>
      </c>
      <c r="O526" s="3">
        <v>4.2</v>
      </c>
    </row>
    <row r="527" spans="1:15" x14ac:dyDescent="0.25">
      <c r="A527" s="4" t="s">
        <v>586</v>
      </c>
      <c r="B527" s="5">
        <v>75</v>
      </c>
      <c r="C527" t="str" cm="1">
        <f t="array" ref="C527">_xlfn.IFS(B527&lt;=30,"Young",B527&lt;=50,"Middle-aged",B527&gt;50,"Older")</f>
        <v>Older</v>
      </c>
      <c r="D527" s="5" t="s">
        <v>10</v>
      </c>
      <c r="E527" s="5" t="s">
        <v>15</v>
      </c>
      <c r="F527" s="5">
        <f t="shared" si="35"/>
        <v>1</v>
      </c>
      <c r="G527" s="5">
        <f t="shared" si="32"/>
        <v>0</v>
      </c>
      <c r="H527" s="5">
        <f t="shared" si="33"/>
        <v>0</v>
      </c>
      <c r="I527" s="5">
        <f t="shared" si="34"/>
        <v>0</v>
      </c>
      <c r="J527" s="5">
        <v>100</v>
      </c>
      <c r="K527" s="5" t="s">
        <v>63</v>
      </c>
      <c r="L527" s="5">
        <v>44</v>
      </c>
      <c r="M527" t="str" cm="1">
        <f t="array" ref="M527">_xlfn.IFS(L527&lt;=14,"Short",L527&lt;=30,"Medium",L527&lt;=45,"Long",L527&lt;=60,"Very Long")</f>
        <v>Long</v>
      </c>
      <c r="N527" s="5" t="s">
        <v>41</v>
      </c>
      <c r="O527" s="6">
        <v>5.6</v>
      </c>
    </row>
    <row r="528" spans="1:15" x14ac:dyDescent="0.25">
      <c r="A528" s="1" t="s">
        <v>587</v>
      </c>
      <c r="B528" s="2">
        <v>24</v>
      </c>
      <c r="C528" t="str" cm="1">
        <f t="array" ref="C528">_xlfn.IFS(B528&lt;=30,"Young",B528&lt;=50,"Middle-aged",B528&gt;50,"Older")</f>
        <v>Young</v>
      </c>
      <c r="D528" s="2" t="s">
        <v>10</v>
      </c>
      <c r="E528" s="2" t="s">
        <v>24</v>
      </c>
      <c r="F528" s="2">
        <f t="shared" si="35"/>
        <v>0</v>
      </c>
      <c r="G528" s="2">
        <f t="shared" si="32"/>
        <v>0</v>
      </c>
      <c r="H528" s="2">
        <f t="shared" si="33"/>
        <v>1</v>
      </c>
      <c r="I528" s="2">
        <f t="shared" si="34"/>
        <v>0</v>
      </c>
      <c r="J528" s="2">
        <v>100</v>
      </c>
      <c r="K528" s="2" t="s">
        <v>39</v>
      </c>
      <c r="L528" s="2">
        <v>42</v>
      </c>
      <c r="M528" t="str" cm="1">
        <f t="array" ref="M528">_xlfn.IFS(L528&lt;=14,"Short",L528&lt;=30,"Medium",L528&lt;=45,"Long",L528&lt;=60,"Very Long")</f>
        <v>Long</v>
      </c>
      <c r="N528" s="2" t="s">
        <v>85</v>
      </c>
      <c r="O528" s="3">
        <v>4.8</v>
      </c>
    </row>
    <row r="529" spans="1:15" x14ac:dyDescent="0.25">
      <c r="A529" s="4" t="s">
        <v>588</v>
      </c>
      <c r="B529" s="5">
        <v>74</v>
      </c>
      <c r="C529" t="str" cm="1">
        <f t="array" ref="C529">_xlfn.IFS(B529&lt;=30,"Young",B529&lt;=50,"Middle-aged",B529&gt;50,"Older")</f>
        <v>Older</v>
      </c>
      <c r="D529" s="5" t="s">
        <v>10</v>
      </c>
      <c r="E529" s="5" t="s">
        <v>11</v>
      </c>
      <c r="F529" s="5">
        <f t="shared" si="35"/>
        <v>0</v>
      </c>
      <c r="G529" s="5">
        <f t="shared" si="32"/>
        <v>0</v>
      </c>
      <c r="H529" s="5">
        <f t="shared" si="33"/>
        <v>0</v>
      </c>
      <c r="I529" s="5">
        <f t="shared" si="34"/>
        <v>0</v>
      </c>
      <c r="J529" s="5">
        <v>850</v>
      </c>
      <c r="K529" s="5" t="s">
        <v>84</v>
      </c>
      <c r="L529" s="5">
        <v>37</v>
      </c>
      <c r="M529" t="str" cm="1">
        <f t="array" ref="M529">_xlfn.IFS(L529&lt;=14,"Short",L529&lt;=30,"Medium",L529&lt;=45,"Long",L529&lt;=60,"Very Long")</f>
        <v>Long</v>
      </c>
      <c r="N529" s="5" t="s">
        <v>97</v>
      </c>
      <c r="O529" s="6">
        <v>6</v>
      </c>
    </row>
    <row r="530" spans="1:15" x14ac:dyDescent="0.25">
      <c r="A530" s="1" t="s">
        <v>589</v>
      </c>
      <c r="B530" s="2">
        <v>53</v>
      </c>
      <c r="C530" t="str" cm="1">
        <f t="array" ref="C530">_xlfn.IFS(B530&lt;=30,"Young",B530&lt;=50,"Middle-aged",B530&gt;50,"Older")</f>
        <v>Older</v>
      </c>
      <c r="D530" s="2" t="s">
        <v>19</v>
      </c>
      <c r="E530" s="2" t="s">
        <v>15</v>
      </c>
      <c r="F530" s="2">
        <f t="shared" si="35"/>
        <v>1</v>
      </c>
      <c r="G530" s="2">
        <f t="shared" si="32"/>
        <v>0</v>
      </c>
      <c r="H530" s="2">
        <f t="shared" si="33"/>
        <v>0</v>
      </c>
      <c r="I530" s="2">
        <f t="shared" si="34"/>
        <v>0</v>
      </c>
      <c r="J530" s="2">
        <v>50</v>
      </c>
      <c r="K530" s="2" t="s">
        <v>63</v>
      </c>
      <c r="L530" s="2">
        <v>32</v>
      </c>
      <c r="M530" t="str" cm="1">
        <f t="array" ref="M530">_xlfn.IFS(L530&lt;=14,"Short",L530&lt;=30,"Medium",L530&lt;=45,"Long",L530&lt;=60,"Very Long")</f>
        <v>Long</v>
      </c>
      <c r="N530" s="2" t="s">
        <v>64</v>
      </c>
      <c r="O530" s="3">
        <v>6.9</v>
      </c>
    </row>
    <row r="531" spans="1:15" x14ac:dyDescent="0.25">
      <c r="A531" s="4" t="s">
        <v>590</v>
      </c>
      <c r="B531" s="5">
        <v>62</v>
      </c>
      <c r="C531" t="str" cm="1">
        <f t="array" ref="C531">_xlfn.IFS(B531&lt;=30,"Young",B531&lt;=50,"Middle-aged",B531&gt;50,"Older")</f>
        <v>Older</v>
      </c>
      <c r="D531" s="5" t="s">
        <v>10</v>
      </c>
      <c r="E531" s="5" t="s">
        <v>20</v>
      </c>
      <c r="F531" s="5">
        <f t="shared" si="35"/>
        <v>0</v>
      </c>
      <c r="G531" s="5">
        <f t="shared" si="32"/>
        <v>1</v>
      </c>
      <c r="H531" s="5">
        <f t="shared" si="33"/>
        <v>0</v>
      </c>
      <c r="I531" s="5">
        <f t="shared" si="34"/>
        <v>0</v>
      </c>
      <c r="J531" s="5">
        <v>50</v>
      </c>
      <c r="K531" s="5" t="s">
        <v>37</v>
      </c>
      <c r="L531" s="5">
        <v>5</v>
      </c>
      <c r="M531" t="str" cm="1">
        <f t="array" ref="M531">_xlfn.IFS(L531&lt;=14,"Short",L531&lt;=30,"Medium",L531&lt;=45,"Long",L531&lt;=60,"Very Long")</f>
        <v>Short</v>
      </c>
      <c r="N531" s="5" t="s">
        <v>173</v>
      </c>
      <c r="O531" s="6">
        <v>4.8</v>
      </c>
    </row>
    <row r="532" spans="1:15" x14ac:dyDescent="0.25">
      <c r="A532" s="1" t="s">
        <v>591</v>
      </c>
      <c r="B532" s="2">
        <v>37</v>
      </c>
      <c r="C532" t="str" cm="1">
        <f t="array" ref="C532">_xlfn.IFS(B532&lt;=30,"Young",B532&lt;=50,"Middle-aged",B532&gt;50,"Older")</f>
        <v>Middle-aged</v>
      </c>
      <c r="D532" s="2" t="s">
        <v>19</v>
      </c>
      <c r="E532" s="2" t="s">
        <v>24</v>
      </c>
      <c r="F532" s="2">
        <f t="shared" si="35"/>
        <v>0</v>
      </c>
      <c r="G532" s="2">
        <f t="shared" si="32"/>
        <v>0</v>
      </c>
      <c r="H532" s="2">
        <f t="shared" si="33"/>
        <v>1</v>
      </c>
      <c r="I532" s="2">
        <f t="shared" si="34"/>
        <v>0</v>
      </c>
      <c r="J532" s="2">
        <v>500</v>
      </c>
      <c r="K532" s="2" t="s">
        <v>25</v>
      </c>
      <c r="L532" s="2">
        <v>59</v>
      </c>
      <c r="M532" t="str" cm="1">
        <f t="array" ref="M532">_xlfn.IFS(L532&lt;=14,"Short",L532&lt;=30,"Medium",L532&lt;=45,"Long",L532&lt;=60,"Very Long")</f>
        <v>Very Long</v>
      </c>
      <c r="N532" s="2" t="s">
        <v>70</v>
      </c>
      <c r="O532" s="3">
        <v>5.6</v>
      </c>
    </row>
    <row r="533" spans="1:15" x14ac:dyDescent="0.25">
      <c r="A533" s="4" t="s">
        <v>592</v>
      </c>
      <c r="B533" s="5">
        <v>18</v>
      </c>
      <c r="C533" t="str" cm="1">
        <f t="array" ref="C533">_xlfn.IFS(B533&lt;=30,"Young",B533&lt;=50,"Middle-aged",B533&gt;50,"Older")</f>
        <v>Young</v>
      </c>
      <c r="D533" s="5" t="s">
        <v>19</v>
      </c>
      <c r="E533" s="5" t="s">
        <v>33</v>
      </c>
      <c r="F533" s="5">
        <f t="shared" si="35"/>
        <v>0</v>
      </c>
      <c r="G533" s="5">
        <f t="shared" si="32"/>
        <v>0</v>
      </c>
      <c r="H533" s="5">
        <f t="shared" si="33"/>
        <v>0</v>
      </c>
      <c r="I533" s="5">
        <f t="shared" si="34"/>
        <v>1</v>
      </c>
      <c r="J533" s="5">
        <v>500</v>
      </c>
      <c r="K533" s="5" t="s">
        <v>47</v>
      </c>
      <c r="L533" s="5">
        <v>12</v>
      </c>
      <c r="M533" t="str" cm="1">
        <f t="array" ref="M533">_xlfn.IFS(L533&lt;=14,"Short",L533&lt;=30,"Medium",L533&lt;=45,"Long",L533&lt;=60,"Very Long")</f>
        <v>Short</v>
      </c>
      <c r="N533" s="5" t="s">
        <v>345</v>
      </c>
      <c r="O533" s="6">
        <v>5.5</v>
      </c>
    </row>
    <row r="534" spans="1:15" x14ac:dyDescent="0.25">
      <c r="A534" s="1" t="s">
        <v>593</v>
      </c>
      <c r="B534" s="2">
        <v>25</v>
      </c>
      <c r="C534" t="str" cm="1">
        <f t="array" ref="C534">_xlfn.IFS(B534&lt;=30,"Young",B534&lt;=50,"Middle-aged",B534&gt;50,"Older")</f>
        <v>Young</v>
      </c>
      <c r="D534" s="2" t="s">
        <v>19</v>
      </c>
      <c r="E534" s="2" t="s">
        <v>33</v>
      </c>
      <c r="F534" s="2">
        <f t="shared" si="35"/>
        <v>0</v>
      </c>
      <c r="G534" s="2">
        <f t="shared" si="32"/>
        <v>0</v>
      </c>
      <c r="H534" s="2">
        <f t="shared" si="33"/>
        <v>0</v>
      </c>
      <c r="I534" s="2">
        <f t="shared" si="34"/>
        <v>1</v>
      </c>
      <c r="J534" s="2">
        <v>850</v>
      </c>
      <c r="K534" s="2" t="s">
        <v>47</v>
      </c>
      <c r="L534" s="2">
        <v>41</v>
      </c>
      <c r="M534" t="str" cm="1">
        <f t="array" ref="M534">_xlfn.IFS(L534&lt;=14,"Short",L534&lt;=30,"Medium",L534&lt;=45,"Long",L534&lt;=60,"Very Long")</f>
        <v>Long</v>
      </c>
      <c r="N534" s="2" t="s">
        <v>345</v>
      </c>
      <c r="O534" s="3">
        <v>7.3</v>
      </c>
    </row>
    <row r="535" spans="1:15" x14ac:dyDescent="0.25">
      <c r="A535" s="4" t="s">
        <v>594</v>
      </c>
      <c r="B535" s="5">
        <v>63</v>
      </c>
      <c r="C535" t="str" cm="1">
        <f t="array" ref="C535">_xlfn.IFS(B535&lt;=30,"Young",B535&lt;=50,"Middle-aged",B535&gt;50,"Older")</f>
        <v>Older</v>
      </c>
      <c r="D535" s="5" t="s">
        <v>19</v>
      </c>
      <c r="E535" s="5" t="s">
        <v>11</v>
      </c>
      <c r="F535" s="5">
        <f t="shared" si="35"/>
        <v>0</v>
      </c>
      <c r="G535" s="5">
        <f t="shared" si="32"/>
        <v>0</v>
      </c>
      <c r="H535" s="5">
        <f t="shared" si="33"/>
        <v>0</v>
      </c>
      <c r="I535" s="5">
        <f t="shared" si="34"/>
        <v>0</v>
      </c>
      <c r="J535" s="5">
        <v>850</v>
      </c>
      <c r="K535" s="5" t="s">
        <v>84</v>
      </c>
      <c r="L535" s="5">
        <v>36</v>
      </c>
      <c r="M535" t="str" cm="1">
        <f t="array" ref="M535">_xlfn.IFS(L535&lt;=14,"Short",L535&lt;=30,"Medium",L535&lt;=45,"Long",L535&lt;=60,"Very Long")</f>
        <v>Long</v>
      </c>
      <c r="N535" s="5" t="s">
        <v>97</v>
      </c>
      <c r="O535" s="6">
        <v>7.1</v>
      </c>
    </row>
    <row r="536" spans="1:15" x14ac:dyDescent="0.25">
      <c r="A536" s="1" t="s">
        <v>595</v>
      </c>
      <c r="B536" s="2">
        <v>33</v>
      </c>
      <c r="C536" t="str" cm="1">
        <f t="array" ref="C536">_xlfn.IFS(B536&lt;=30,"Young",B536&lt;=50,"Middle-aged",B536&gt;50,"Older")</f>
        <v>Middle-aged</v>
      </c>
      <c r="D536" s="2" t="s">
        <v>19</v>
      </c>
      <c r="E536" s="2" t="s">
        <v>33</v>
      </c>
      <c r="F536" s="2">
        <f t="shared" si="35"/>
        <v>0</v>
      </c>
      <c r="G536" s="2">
        <f t="shared" si="32"/>
        <v>0</v>
      </c>
      <c r="H536" s="2">
        <f t="shared" si="33"/>
        <v>0</v>
      </c>
      <c r="I536" s="2">
        <f t="shared" si="34"/>
        <v>1</v>
      </c>
      <c r="J536" s="2">
        <v>100</v>
      </c>
      <c r="K536" s="2" t="s">
        <v>49</v>
      </c>
      <c r="L536" s="2">
        <v>52</v>
      </c>
      <c r="M536" t="str" cm="1">
        <f t="array" ref="M536">_xlfn.IFS(L536&lt;=14,"Short",L536&lt;=30,"Medium",L536&lt;=45,"Long",L536&lt;=60,"Very Long")</f>
        <v>Very Long</v>
      </c>
      <c r="N536" s="2" t="s">
        <v>13</v>
      </c>
      <c r="O536" s="3">
        <v>5.9</v>
      </c>
    </row>
    <row r="537" spans="1:15" x14ac:dyDescent="0.25">
      <c r="A537" s="4" t="s">
        <v>596</v>
      </c>
      <c r="B537" s="5">
        <v>31</v>
      </c>
      <c r="C537" t="str" cm="1">
        <f t="array" ref="C537">_xlfn.IFS(B537&lt;=30,"Young",B537&lt;=50,"Middle-aged",B537&gt;50,"Older")</f>
        <v>Middle-aged</v>
      </c>
      <c r="D537" s="5" t="s">
        <v>19</v>
      </c>
      <c r="E537" s="5" t="s">
        <v>24</v>
      </c>
      <c r="F537" s="5">
        <f t="shared" si="35"/>
        <v>0</v>
      </c>
      <c r="G537" s="5">
        <f t="shared" si="32"/>
        <v>0</v>
      </c>
      <c r="H537" s="5">
        <f t="shared" si="33"/>
        <v>1</v>
      </c>
      <c r="I537" s="5">
        <f t="shared" si="34"/>
        <v>0</v>
      </c>
      <c r="J537" s="5">
        <v>500</v>
      </c>
      <c r="K537" s="5" t="s">
        <v>39</v>
      </c>
      <c r="L537" s="5">
        <v>47</v>
      </c>
      <c r="M537" t="str" cm="1">
        <f t="array" ref="M537">_xlfn.IFS(L537&lt;=14,"Short",L537&lt;=30,"Medium",L537&lt;=45,"Long",L537&lt;=60,"Very Long")</f>
        <v>Very Long</v>
      </c>
      <c r="N537" s="5" t="s">
        <v>136</v>
      </c>
      <c r="O537" s="6">
        <v>7.3</v>
      </c>
    </row>
    <row r="538" spans="1:15" x14ac:dyDescent="0.25">
      <c r="A538" s="1" t="s">
        <v>597</v>
      </c>
      <c r="B538" s="2">
        <v>29</v>
      </c>
      <c r="C538" t="str" cm="1">
        <f t="array" ref="C538">_xlfn.IFS(B538&lt;=30,"Young",B538&lt;=50,"Middle-aged",B538&gt;50,"Older")</f>
        <v>Young</v>
      </c>
      <c r="D538" s="2" t="s">
        <v>10</v>
      </c>
      <c r="E538" s="2" t="s">
        <v>24</v>
      </c>
      <c r="F538" s="2">
        <f t="shared" si="35"/>
        <v>0</v>
      </c>
      <c r="G538" s="2">
        <f t="shared" si="32"/>
        <v>0</v>
      </c>
      <c r="H538" s="2">
        <f t="shared" si="33"/>
        <v>1</v>
      </c>
      <c r="I538" s="2">
        <f t="shared" si="34"/>
        <v>0</v>
      </c>
      <c r="J538" s="2">
        <v>250</v>
      </c>
      <c r="K538" s="2" t="s">
        <v>59</v>
      </c>
      <c r="L538" s="2">
        <v>41</v>
      </c>
      <c r="M538" t="str" cm="1">
        <f t="array" ref="M538">_xlfn.IFS(L538&lt;=14,"Short",L538&lt;=30,"Medium",L538&lt;=45,"Long",L538&lt;=60,"Very Long")</f>
        <v>Long</v>
      </c>
      <c r="N538" s="2" t="s">
        <v>150</v>
      </c>
      <c r="O538" s="3">
        <v>6.2</v>
      </c>
    </row>
    <row r="539" spans="1:15" x14ac:dyDescent="0.25">
      <c r="A539" s="4" t="s">
        <v>598</v>
      </c>
      <c r="B539" s="5">
        <v>68</v>
      </c>
      <c r="C539" t="str" cm="1">
        <f t="array" ref="C539">_xlfn.IFS(B539&lt;=30,"Young",B539&lt;=50,"Middle-aged",B539&gt;50,"Older")</f>
        <v>Older</v>
      </c>
      <c r="D539" s="5" t="s">
        <v>10</v>
      </c>
      <c r="E539" s="5" t="s">
        <v>33</v>
      </c>
      <c r="F539" s="5">
        <f t="shared" si="35"/>
        <v>0</v>
      </c>
      <c r="G539" s="5">
        <f t="shared" si="32"/>
        <v>0</v>
      </c>
      <c r="H539" s="5">
        <f t="shared" si="33"/>
        <v>0</v>
      </c>
      <c r="I539" s="5">
        <f t="shared" si="34"/>
        <v>1</v>
      </c>
      <c r="J539" s="5">
        <v>850</v>
      </c>
      <c r="K539" s="5" t="s">
        <v>34</v>
      </c>
      <c r="L539" s="5">
        <v>8</v>
      </c>
      <c r="M539" t="str" cm="1">
        <f t="array" ref="M539">_xlfn.IFS(L539&lt;=14,"Short",L539&lt;=30,"Medium",L539&lt;=45,"Long",L539&lt;=60,"Very Long")</f>
        <v>Short</v>
      </c>
      <c r="N539" s="5" t="s">
        <v>95</v>
      </c>
      <c r="O539" s="6">
        <v>6.6</v>
      </c>
    </row>
    <row r="540" spans="1:15" x14ac:dyDescent="0.25">
      <c r="A540" s="1" t="s">
        <v>599</v>
      </c>
      <c r="B540" s="2">
        <v>40</v>
      </c>
      <c r="C540" t="str" cm="1">
        <f t="array" ref="C540">_xlfn.IFS(B540&lt;=30,"Young",B540&lt;=50,"Middle-aged",B540&gt;50,"Older")</f>
        <v>Middle-aged</v>
      </c>
      <c r="D540" s="2" t="s">
        <v>19</v>
      </c>
      <c r="E540" s="2" t="s">
        <v>24</v>
      </c>
      <c r="F540" s="2">
        <f t="shared" si="35"/>
        <v>0</v>
      </c>
      <c r="G540" s="2">
        <f t="shared" si="32"/>
        <v>0</v>
      </c>
      <c r="H540" s="2">
        <f t="shared" si="33"/>
        <v>1</v>
      </c>
      <c r="I540" s="2">
        <f t="shared" si="34"/>
        <v>0</v>
      </c>
      <c r="J540" s="2">
        <v>250</v>
      </c>
      <c r="K540" s="2" t="s">
        <v>59</v>
      </c>
      <c r="L540" s="2">
        <v>34</v>
      </c>
      <c r="M540" t="str" cm="1">
        <f t="array" ref="M540">_xlfn.IFS(L540&lt;=14,"Short",L540&lt;=30,"Medium",L540&lt;=45,"Long",L540&lt;=60,"Very Long")</f>
        <v>Long</v>
      </c>
      <c r="N540" s="2" t="s">
        <v>60</v>
      </c>
      <c r="O540" s="3">
        <v>9.5</v>
      </c>
    </row>
    <row r="541" spans="1:15" x14ac:dyDescent="0.25">
      <c r="A541" s="4" t="s">
        <v>600</v>
      </c>
      <c r="B541" s="5">
        <v>32</v>
      </c>
      <c r="C541" t="str" cm="1">
        <f t="array" ref="C541">_xlfn.IFS(B541&lt;=30,"Young",B541&lt;=50,"Middle-aged",B541&gt;50,"Older")</f>
        <v>Middle-aged</v>
      </c>
      <c r="D541" s="5" t="s">
        <v>19</v>
      </c>
      <c r="E541" s="5" t="s">
        <v>11</v>
      </c>
      <c r="F541" s="5">
        <f t="shared" si="35"/>
        <v>0</v>
      </c>
      <c r="G541" s="5">
        <f t="shared" si="32"/>
        <v>0</v>
      </c>
      <c r="H541" s="5">
        <f t="shared" si="33"/>
        <v>0</v>
      </c>
      <c r="I541" s="5">
        <f t="shared" si="34"/>
        <v>0</v>
      </c>
      <c r="J541" s="5">
        <v>250</v>
      </c>
      <c r="K541" s="5" t="s">
        <v>84</v>
      </c>
      <c r="L541" s="5">
        <v>10</v>
      </c>
      <c r="M541" t="str" cm="1">
        <f t="array" ref="M541">_xlfn.IFS(L541&lt;=14,"Short",L541&lt;=30,"Medium",L541&lt;=45,"Long",L541&lt;=60,"Very Long")</f>
        <v>Short</v>
      </c>
      <c r="N541" s="5" t="s">
        <v>85</v>
      </c>
      <c r="O541" s="6">
        <v>9</v>
      </c>
    </row>
    <row r="542" spans="1:15" x14ac:dyDescent="0.25">
      <c r="A542" s="1" t="s">
        <v>601</v>
      </c>
      <c r="B542" s="2">
        <v>45</v>
      </c>
      <c r="C542" t="str" cm="1">
        <f t="array" ref="C542">_xlfn.IFS(B542&lt;=30,"Young",B542&lt;=50,"Middle-aged",B542&gt;50,"Older")</f>
        <v>Middle-aged</v>
      </c>
      <c r="D542" s="2" t="s">
        <v>10</v>
      </c>
      <c r="E542" s="2" t="s">
        <v>15</v>
      </c>
      <c r="F542" s="2">
        <f t="shared" si="35"/>
        <v>1</v>
      </c>
      <c r="G542" s="2">
        <f t="shared" si="32"/>
        <v>0</v>
      </c>
      <c r="H542" s="2">
        <f t="shared" si="33"/>
        <v>0</v>
      </c>
      <c r="I542" s="2">
        <f t="shared" si="34"/>
        <v>0</v>
      </c>
      <c r="J542" s="2">
        <v>500</v>
      </c>
      <c r="K542" s="2" t="s">
        <v>63</v>
      </c>
      <c r="L542" s="2">
        <v>50</v>
      </c>
      <c r="M542" t="str" cm="1">
        <f t="array" ref="M542">_xlfn.IFS(L542&lt;=14,"Short",L542&lt;=30,"Medium",L542&lt;=45,"Long",L542&lt;=60,"Very Long")</f>
        <v>Very Long</v>
      </c>
      <c r="N542" s="2" t="s">
        <v>41</v>
      </c>
      <c r="O542" s="3">
        <v>5.0999999999999996</v>
      </c>
    </row>
    <row r="543" spans="1:15" x14ac:dyDescent="0.25">
      <c r="A543" s="4" t="s">
        <v>602</v>
      </c>
      <c r="B543" s="5">
        <v>51</v>
      </c>
      <c r="C543" t="str" cm="1">
        <f t="array" ref="C543">_xlfn.IFS(B543&lt;=30,"Young",B543&lt;=50,"Middle-aged",B543&gt;50,"Older")</f>
        <v>Older</v>
      </c>
      <c r="D543" s="5" t="s">
        <v>19</v>
      </c>
      <c r="E543" s="5" t="s">
        <v>11</v>
      </c>
      <c r="F543" s="5">
        <f t="shared" si="35"/>
        <v>0</v>
      </c>
      <c r="G543" s="5">
        <f t="shared" si="32"/>
        <v>0</v>
      </c>
      <c r="H543" s="5">
        <f t="shared" si="33"/>
        <v>0</v>
      </c>
      <c r="I543" s="5">
        <f t="shared" si="34"/>
        <v>0</v>
      </c>
      <c r="J543" s="5">
        <v>100</v>
      </c>
      <c r="K543" s="5" t="s">
        <v>12</v>
      </c>
      <c r="L543" s="5">
        <v>58</v>
      </c>
      <c r="M543" t="str" cm="1">
        <f t="array" ref="M543">_xlfn.IFS(L543&lt;=14,"Short",L543&lt;=30,"Medium",L543&lt;=45,"Long",L543&lt;=60,"Very Long")</f>
        <v>Very Long</v>
      </c>
      <c r="N543" s="5" t="s">
        <v>120</v>
      </c>
      <c r="O543" s="6">
        <v>8.1999999999999993</v>
      </c>
    </row>
    <row r="544" spans="1:15" x14ac:dyDescent="0.25">
      <c r="A544" s="1" t="s">
        <v>603</v>
      </c>
      <c r="B544" s="2">
        <v>19</v>
      </c>
      <c r="C544" t="str" cm="1">
        <f t="array" ref="C544">_xlfn.IFS(B544&lt;=30,"Young",B544&lt;=50,"Middle-aged",B544&gt;50,"Older")</f>
        <v>Young</v>
      </c>
      <c r="D544" s="2" t="s">
        <v>19</v>
      </c>
      <c r="E544" s="2" t="s">
        <v>11</v>
      </c>
      <c r="F544" s="2">
        <f t="shared" si="35"/>
        <v>0</v>
      </c>
      <c r="G544" s="2">
        <f t="shared" si="32"/>
        <v>0</v>
      </c>
      <c r="H544" s="2">
        <f t="shared" si="33"/>
        <v>0</v>
      </c>
      <c r="I544" s="2">
        <f t="shared" si="34"/>
        <v>0</v>
      </c>
      <c r="J544" s="2">
        <v>250</v>
      </c>
      <c r="K544" s="2" t="s">
        <v>84</v>
      </c>
      <c r="L544" s="2">
        <v>23</v>
      </c>
      <c r="M544" t="str" cm="1">
        <f t="array" ref="M544">_xlfn.IFS(L544&lt;=14,"Short",L544&lt;=30,"Medium",L544&lt;=45,"Long",L544&lt;=60,"Very Long")</f>
        <v>Medium</v>
      </c>
      <c r="N544" s="2" t="s">
        <v>85</v>
      </c>
      <c r="O544" s="3">
        <v>8.1999999999999993</v>
      </c>
    </row>
    <row r="545" spans="1:15" x14ac:dyDescent="0.25">
      <c r="A545" s="4" t="s">
        <v>604</v>
      </c>
      <c r="B545" s="5">
        <v>49</v>
      </c>
      <c r="C545" t="str" cm="1">
        <f t="array" ref="C545">_xlfn.IFS(B545&lt;=30,"Young",B545&lt;=50,"Middle-aged",B545&gt;50,"Older")</f>
        <v>Middle-aged</v>
      </c>
      <c r="D545" s="5" t="s">
        <v>10</v>
      </c>
      <c r="E545" s="5" t="s">
        <v>24</v>
      </c>
      <c r="F545" s="5">
        <f t="shared" si="35"/>
        <v>0</v>
      </c>
      <c r="G545" s="5">
        <f t="shared" si="32"/>
        <v>0</v>
      </c>
      <c r="H545" s="5">
        <f t="shared" si="33"/>
        <v>1</v>
      </c>
      <c r="I545" s="5">
        <f t="shared" si="34"/>
        <v>0</v>
      </c>
      <c r="J545" s="5">
        <v>50</v>
      </c>
      <c r="K545" s="5" t="s">
        <v>39</v>
      </c>
      <c r="L545" s="5">
        <v>36</v>
      </c>
      <c r="M545" t="str" cm="1">
        <f t="array" ref="M545">_xlfn.IFS(L545&lt;=14,"Short",L545&lt;=30,"Medium",L545&lt;=45,"Long",L545&lt;=60,"Very Long")</f>
        <v>Long</v>
      </c>
      <c r="N545" s="5" t="s">
        <v>136</v>
      </c>
      <c r="O545" s="6">
        <v>5.3</v>
      </c>
    </row>
    <row r="546" spans="1:15" x14ac:dyDescent="0.25">
      <c r="A546" s="1" t="s">
        <v>605</v>
      </c>
      <c r="B546" s="2">
        <v>40</v>
      </c>
      <c r="C546" t="str" cm="1">
        <f t="array" ref="C546">_xlfn.IFS(B546&lt;=30,"Young",B546&lt;=50,"Middle-aged",B546&gt;50,"Older")</f>
        <v>Middle-aged</v>
      </c>
      <c r="D546" s="2" t="s">
        <v>19</v>
      </c>
      <c r="E546" s="2" t="s">
        <v>15</v>
      </c>
      <c r="F546" s="2">
        <f t="shared" si="35"/>
        <v>1</v>
      </c>
      <c r="G546" s="2">
        <f t="shared" si="32"/>
        <v>0</v>
      </c>
      <c r="H546" s="2">
        <f t="shared" si="33"/>
        <v>0</v>
      </c>
      <c r="I546" s="2">
        <f t="shared" si="34"/>
        <v>0</v>
      </c>
      <c r="J546" s="2">
        <v>100</v>
      </c>
      <c r="K546" s="2" t="s">
        <v>16</v>
      </c>
      <c r="L546" s="2">
        <v>13</v>
      </c>
      <c r="M546" t="str" cm="1">
        <f t="array" ref="M546">_xlfn.IFS(L546&lt;=14,"Short",L546&lt;=30,"Medium",L546&lt;=45,"Long",L546&lt;=60,"Very Long")</f>
        <v>Short</v>
      </c>
      <c r="N546" s="2" t="s">
        <v>30</v>
      </c>
      <c r="O546" s="3">
        <v>8.1999999999999993</v>
      </c>
    </row>
    <row r="547" spans="1:15" x14ac:dyDescent="0.25">
      <c r="A547" s="4" t="s">
        <v>606</v>
      </c>
      <c r="B547" s="5">
        <v>39</v>
      </c>
      <c r="C547" t="str" cm="1">
        <f t="array" ref="C547">_xlfn.IFS(B547&lt;=30,"Young",B547&lt;=50,"Middle-aged",B547&gt;50,"Older")</f>
        <v>Middle-aged</v>
      </c>
      <c r="D547" s="5" t="s">
        <v>19</v>
      </c>
      <c r="E547" s="5" t="s">
        <v>24</v>
      </c>
      <c r="F547" s="5">
        <f t="shared" si="35"/>
        <v>0</v>
      </c>
      <c r="G547" s="5">
        <f t="shared" si="32"/>
        <v>0</v>
      </c>
      <c r="H547" s="5">
        <f t="shared" si="33"/>
        <v>1</v>
      </c>
      <c r="I547" s="5">
        <f t="shared" si="34"/>
        <v>0</v>
      </c>
      <c r="J547" s="5">
        <v>850</v>
      </c>
      <c r="K547" s="5" t="s">
        <v>39</v>
      </c>
      <c r="L547" s="5">
        <v>16</v>
      </c>
      <c r="M547" t="str" cm="1">
        <f t="array" ref="M547">_xlfn.IFS(L547&lt;=14,"Short",L547&lt;=30,"Medium",L547&lt;=45,"Long",L547&lt;=60,"Very Long")</f>
        <v>Medium</v>
      </c>
      <c r="N547" s="5" t="s">
        <v>136</v>
      </c>
      <c r="O547" s="6">
        <v>9.3000000000000007</v>
      </c>
    </row>
    <row r="548" spans="1:15" x14ac:dyDescent="0.25">
      <c r="A548" s="1" t="s">
        <v>607</v>
      </c>
      <c r="B548" s="2">
        <v>68</v>
      </c>
      <c r="C548" t="str" cm="1">
        <f t="array" ref="C548">_xlfn.IFS(B548&lt;=30,"Young",B548&lt;=50,"Middle-aged",B548&gt;50,"Older")</f>
        <v>Older</v>
      </c>
      <c r="D548" s="2" t="s">
        <v>19</v>
      </c>
      <c r="E548" s="2" t="s">
        <v>20</v>
      </c>
      <c r="F548" s="2">
        <f t="shared" si="35"/>
        <v>0</v>
      </c>
      <c r="G548" s="2">
        <f t="shared" si="32"/>
        <v>1</v>
      </c>
      <c r="H548" s="2">
        <f t="shared" si="33"/>
        <v>0</v>
      </c>
      <c r="I548" s="2">
        <f t="shared" si="34"/>
        <v>0</v>
      </c>
      <c r="J548" s="2">
        <v>850</v>
      </c>
      <c r="K548" s="2" t="s">
        <v>55</v>
      </c>
      <c r="L548" s="2">
        <v>15</v>
      </c>
      <c r="M548" t="str" cm="1">
        <f t="array" ref="M548">_xlfn.IFS(L548&lt;=14,"Short",L548&lt;=30,"Medium",L548&lt;=45,"Long",L548&lt;=60,"Very Long")</f>
        <v>Medium</v>
      </c>
      <c r="N548" s="2" t="s">
        <v>22</v>
      </c>
      <c r="O548" s="3">
        <v>5.3</v>
      </c>
    </row>
    <row r="549" spans="1:15" x14ac:dyDescent="0.25">
      <c r="A549" s="4" t="s">
        <v>608</v>
      </c>
      <c r="B549" s="5">
        <v>42</v>
      </c>
      <c r="C549" t="str" cm="1">
        <f t="array" ref="C549">_xlfn.IFS(B549&lt;=30,"Young",B549&lt;=50,"Middle-aged",B549&gt;50,"Older")</f>
        <v>Middle-aged</v>
      </c>
      <c r="D549" s="5" t="s">
        <v>10</v>
      </c>
      <c r="E549" s="5" t="s">
        <v>24</v>
      </c>
      <c r="F549" s="5">
        <f t="shared" si="35"/>
        <v>0</v>
      </c>
      <c r="G549" s="5">
        <f t="shared" si="32"/>
        <v>0</v>
      </c>
      <c r="H549" s="5">
        <f t="shared" si="33"/>
        <v>1</v>
      </c>
      <c r="I549" s="5">
        <f t="shared" si="34"/>
        <v>0</v>
      </c>
      <c r="J549" s="5">
        <v>500</v>
      </c>
      <c r="K549" s="5" t="s">
        <v>39</v>
      </c>
      <c r="L549" s="5">
        <v>50</v>
      </c>
      <c r="M549" t="str" cm="1">
        <f t="array" ref="M549">_xlfn.IFS(L549&lt;=14,"Short",L549&lt;=30,"Medium",L549&lt;=45,"Long",L549&lt;=60,"Very Long")</f>
        <v>Very Long</v>
      </c>
      <c r="N549" s="5" t="s">
        <v>13</v>
      </c>
      <c r="O549" s="6">
        <v>5.6</v>
      </c>
    </row>
    <row r="550" spans="1:15" x14ac:dyDescent="0.25">
      <c r="A550" s="1" t="s">
        <v>609</v>
      </c>
      <c r="B550" s="2">
        <v>75</v>
      </c>
      <c r="C550" t="str" cm="1">
        <f t="array" ref="C550">_xlfn.IFS(B550&lt;=30,"Young",B550&lt;=50,"Middle-aged",B550&gt;50,"Older")</f>
        <v>Older</v>
      </c>
      <c r="D550" s="2" t="s">
        <v>10</v>
      </c>
      <c r="E550" s="2" t="s">
        <v>24</v>
      </c>
      <c r="F550" s="2">
        <f t="shared" si="35"/>
        <v>0</v>
      </c>
      <c r="G550" s="2">
        <f t="shared" si="32"/>
        <v>0</v>
      </c>
      <c r="H550" s="2">
        <f t="shared" si="33"/>
        <v>1</v>
      </c>
      <c r="I550" s="2">
        <f t="shared" si="34"/>
        <v>0</v>
      </c>
      <c r="J550" s="2">
        <v>250</v>
      </c>
      <c r="K550" s="2" t="s">
        <v>59</v>
      </c>
      <c r="L550" s="2">
        <v>59</v>
      </c>
      <c r="M550" t="str" cm="1">
        <f t="array" ref="M550">_xlfn.IFS(L550&lt;=14,"Short",L550&lt;=30,"Medium",L550&lt;=45,"Long",L550&lt;=60,"Very Long")</f>
        <v>Very Long</v>
      </c>
      <c r="N550" s="2" t="s">
        <v>150</v>
      </c>
      <c r="O550" s="3">
        <v>8.5</v>
      </c>
    </row>
    <row r="551" spans="1:15" x14ac:dyDescent="0.25">
      <c r="A551" s="4" t="s">
        <v>610</v>
      </c>
      <c r="B551" s="5">
        <v>79</v>
      </c>
      <c r="C551" t="str" cm="1">
        <f t="array" ref="C551">_xlfn.IFS(B551&lt;=30,"Young",B551&lt;=50,"Middle-aged",B551&gt;50,"Older")</f>
        <v>Older</v>
      </c>
      <c r="D551" s="5" t="s">
        <v>10</v>
      </c>
      <c r="E551" s="5" t="s">
        <v>24</v>
      </c>
      <c r="F551" s="5">
        <f t="shared" si="35"/>
        <v>0</v>
      </c>
      <c r="G551" s="5">
        <f t="shared" si="32"/>
        <v>0</v>
      </c>
      <c r="H551" s="5">
        <f t="shared" si="33"/>
        <v>1</v>
      </c>
      <c r="I551" s="5">
        <f t="shared" si="34"/>
        <v>0</v>
      </c>
      <c r="J551" s="5">
        <v>250</v>
      </c>
      <c r="K551" s="5" t="s">
        <v>39</v>
      </c>
      <c r="L551" s="5">
        <v>20</v>
      </c>
      <c r="M551" t="str" cm="1">
        <f t="array" ref="M551">_xlfn.IFS(L551&lt;=14,"Short",L551&lt;=30,"Medium",L551&lt;=45,"Long",L551&lt;=60,"Very Long")</f>
        <v>Medium</v>
      </c>
      <c r="N551" s="5" t="s">
        <v>85</v>
      </c>
      <c r="O551" s="6">
        <v>7.4</v>
      </c>
    </row>
    <row r="552" spans="1:15" x14ac:dyDescent="0.25">
      <c r="A552" s="1" t="s">
        <v>611</v>
      </c>
      <c r="B552" s="2">
        <v>78</v>
      </c>
      <c r="C552" t="str" cm="1">
        <f t="array" ref="C552">_xlfn.IFS(B552&lt;=30,"Young",B552&lt;=50,"Middle-aged",B552&gt;50,"Older")</f>
        <v>Older</v>
      </c>
      <c r="D552" s="2" t="s">
        <v>19</v>
      </c>
      <c r="E552" s="2" t="s">
        <v>15</v>
      </c>
      <c r="F552" s="2">
        <f t="shared" si="35"/>
        <v>1</v>
      </c>
      <c r="G552" s="2">
        <f t="shared" si="32"/>
        <v>0</v>
      </c>
      <c r="H552" s="2">
        <f t="shared" si="33"/>
        <v>0</v>
      </c>
      <c r="I552" s="2">
        <f t="shared" si="34"/>
        <v>0</v>
      </c>
      <c r="J552" s="2">
        <v>50</v>
      </c>
      <c r="K552" s="2" t="s">
        <v>44</v>
      </c>
      <c r="L552" s="2">
        <v>5</v>
      </c>
      <c r="M552" t="str" cm="1">
        <f t="array" ref="M552">_xlfn.IFS(L552&lt;=14,"Short",L552&lt;=30,"Medium",L552&lt;=45,"Long",L552&lt;=60,"Very Long")</f>
        <v>Short</v>
      </c>
      <c r="N552" s="2" t="s">
        <v>30</v>
      </c>
      <c r="O552" s="3">
        <v>7.8</v>
      </c>
    </row>
    <row r="553" spans="1:15" x14ac:dyDescent="0.25">
      <c r="A553" s="4" t="s">
        <v>612</v>
      </c>
      <c r="B553" s="5">
        <v>39</v>
      </c>
      <c r="C553" t="str" cm="1">
        <f t="array" ref="C553">_xlfn.IFS(B553&lt;=30,"Young",B553&lt;=50,"Middle-aged",B553&gt;50,"Older")</f>
        <v>Middle-aged</v>
      </c>
      <c r="D553" s="5" t="s">
        <v>19</v>
      </c>
      <c r="E553" s="5" t="s">
        <v>24</v>
      </c>
      <c r="F553" s="5">
        <f t="shared" si="35"/>
        <v>0</v>
      </c>
      <c r="G553" s="5">
        <f t="shared" si="32"/>
        <v>0</v>
      </c>
      <c r="H553" s="5">
        <f t="shared" si="33"/>
        <v>1</v>
      </c>
      <c r="I553" s="5">
        <f t="shared" si="34"/>
        <v>0</v>
      </c>
      <c r="J553" s="5">
        <v>850</v>
      </c>
      <c r="K553" s="5" t="s">
        <v>59</v>
      </c>
      <c r="L553" s="5">
        <v>49</v>
      </c>
      <c r="M553" t="str" cm="1">
        <f t="array" ref="M553">_xlfn.IFS(L553&lt;=14,"Short",L553&lt;=30,"Medium",L553&lt;=45,"Long",L553&lt;=60,"Very Long")</f>
        <v>Very Long</v>
      </c>
      <c r="N553" s="5" t="s">
        <v>60</v>
      </c>
      <c r="O553" s="6">
        <v>7.5</v>
      </c>
    </row>
    <row r="554" spans="1:15" x14ac:dyDescent="0.25">
      <c r="A554" s="1" t="s">
        <v>613</v>
      </c>
      <c r="B554" s="2">
        <v>75</v>
      </c>
      <c r="C554" t="str" cm="1">
        <f t="array" ref="C554">_xlfn.IFS(B554&lt;=30,"Young",B554&lt;=50,"Middle-aged",B554&gt;50,"Older")</f>
        <v>Older</v>
      </c>
      <c r="D554" s="2" t="s">
        <v>10</v>
      </c>
      <c r="E554" s="2" t="s">
        <v>15</v>
      </c>
      <c r="F554" s="2">
        <f t="shared" si="35"/>
        <v>1</v>
      </c>
      <c r="G554" s="2">
        <f t="shared" si="32"/>
        <v>0</v>
      </c>
      <c r="H554" s="2">
        <f t="shared" si="33"/>
        <v>0</v>
      </c>
      <c r="I554" s="2">
        <f t="shared" si="34"/>
        <v>0</v>
      </c>
      <c r="J554" s="2">
        <v>850</v>
      </c>
      <c r="K554" s="2" t="s">
        <v>16</v>
      </c>
      <c r="L554" s="2">
        <v>59</v>
      </c>
      <c r="M554" t="str" cm="1">
        <f t="array" ref="M554">_xlfn.IFS(L554&lt;=14,"Short",L554&lt;=30,"Medium",L554&lt;=45,"Long",L554&lt;=60,"Very Long")</f>
        <v>Very Long</v>
      </c>
      <c r="N554" s="2" t="s">
        <v>17</v>
      </c>
      <c r="O554" s="3">
        <v>7.6</v>
      </c>
    </row>
    <row r="555" spans="1:15" x14ac:dyDescent="0.25">
      <c r="A555" s="4" t="s">
        <v>614</v>
      </c>
      <c r="B555" s="5">
        <v>75</v>
      </c>
      <c r="C555" t="str" cm="1">
        <f t="array" ref="C555">_xlfn.IFS(B555&lt;=30,"Young",B555&lt;=50,"Middle-aged",B555&gt;50,"Older")</f>
        <v>Older</v>
      </c>
      <c r="D555" s="5" t="s">
        <v>19</v>
      </c>
      <c r="E555" s="5" t="s">
        <v>33</v>
      </c>
      <c r="F555" s="5">
        <f t="shared" si="35"/>
        <v>0</v>
      </c>
      <c r="G555" s="5">
        <f t="shared" si="32"/>
        <v>0</v>
      </c>
      <c r="H555" s="5">
        <f t="shared" si="33"/>
        <v>0</v>
      </c>
      <c r="I555" s="5">
        <f t="shared" si="34"/>
        <v>1</v>
      </c>
      <c r="J555" s="5">
        <v>50</v>
      </c>
      <c r="K555" s="5" t="s">
        <v>34</v>
      </c>
      <c r="L555" s="5">
        <v>57</v>
      </c>
      <c r="M555" t="str" cm="1">
        <f t="array" ref="M555">_xlfn.IFS(L555&lt;=14,"Short",L555&lt;=30,"Medium",L555&lt;=45,"Long",L555&lt;=60,"Very Long")</f>
        <v>Very Long</v>
      </c>
      <c r="N555" s="5" t="s">
        <v>97</v>
      </c>
      <c r="O555" s="6">
        <v>5</v>
      </c>
    </row>
    <row r="556" spans="1:15" x14ac:dyDescent="0.25">
      <c r="A556" s="1" t="s">
        <v>615</v>
      </c>
      <c r="B556" s="2">
        <v>39</v>
      </c>
      <c r="C556" t="str" cm="1">
        <f t="array" ref="C556">_xlfn.IFS(B556&lt;=30,"Young",B556&lt;=50,"Middle-aged",B556&gt;50,"Older")</f>
        <v>Middle-aged</v>
      </c>
      <c r="D556" s="2" t="s">
        <v>19</v>
      </c>
      <c r="E556" s="2" t="s">
        <v>20</v>
      </c>
      <c r="F556" s="2">
        <f t="shared" si="35"/>
        <v>0</v>
      </c>
      <c r="G556" s="2">
        <f t="shared" si="32"/>
        <v>1</v>
      </c>
      <c r="H556" s="2">
        <f t="shared" si="33"/>
        <v>0</v>
      </c>
      <c r="I556" s="2">
        <f t="shared" si="34"/>
        <v>0</v>
      </c>
      <c r="J556" s="2">
        <v>850</v>
      </c>
      <c r="K556" s="2" t="s">
        <v>21</v>
      </c>
      <c r="L556" s="2">
        <v>25</v>
      </c>
      <c r="M556" t="str" cm="1">
        <f t="array" ref="M556">_xlfn.IFS(L556&lt;=14,"Short",L556&lt;=30,"Medium",L556&lt;=45,"Long",L556&lt;=60,"Very Long")</f>
        <v>Medium</v>
      </c>
      <c r="N556" s="2" t="s">
        <v>41</v>
      </c>
      <c r="O556" s="3">
        <v>8.6</v>
      </c>
    </row>
    <row r="557" spans="1:15" x14ac:dyDescent="0.25">
      <c r="A557" s="4" t="s">
        <v>616</v>
      </c>
      <c r="B557" s="5">
        <v>66</v>
      </c>
      <c r="C557" t="str" cm="1">
        <f t="array" ref="C557">_xlfn.IFS(B557&lt;=30,"Young",B557&lt;=50,"Middle-aged",B557&gt;50,"Older")</f>
        <v>Older</v>
      </c>
      <c r="D557" s="5" t="s">
        <v>19</v>
      </c>
      <c r="E557" s="5" t="s">
        <v>15</v>
      </c>
      <c r="F557" s="5">
        <f t="shared" si="35"/>
        <v>1</v>
      </c>
      <c r="G557" s="5">
        <f t="shared" si="32"/>
        <v>0</v>
      </c>
      <c r="H557" s="5">
        <f t="shared" si="33"/>
        <v>0</v>
      </c>
      <c r="I557" s="5">
        <f t="shared" si="34"/>
        <v>0</v>
      </c>
      <c r="J557" s="5">
        <v>100</v>
      </c>
      <c r="K557" s="5" t="s">
        <v>44</v>
      </c>
      <c r="L557" s="5">
        <v>34</v>
      </c>
      <c r="M557" t="str" cm="1">
        <f t="array" ref="M557">_xlfn.IFS(L557&lt;=14,"Short",L557&lt;=30,"Medium",L557&lt;=45,"Long",L557&lt;=60,"Very Long")</f>
        <v>Long</v>
      </c>
      <c r="N557" s="5" t="s">
        <v>95</v>
      </c>
      <c r="O557" s="6">
        <v>8.8000000000000007</v>
      </c>
    </row>
    <row r="558" spans="1:15" x14ac:dyDescent="0.25">
      <c r="A558" s="1" t="s">
        <v>617</v>
      </c>
      <c r="B558" s="2">
        <v>69</v>
      </c>
      <c r="C558" t="str" cm="1">
        <f t="array" ref="C558">_xlfn.IFS(B558&lt;=30,"Young",B558&lt;=50,"Middle-aged",B558&gt;50,"Older")</f>
        <v>Older</v>
      </c>
      <c r="D558" s="2" t="s">
        <v>19</v>
      </c>
      <c r="E558" s="2" t="s">
        <v>33</v>
      </c>
      <c r="F558" s="2">
        <f t="shared" si="35"/>
        <v>0</v>
      </c>
      <c r="G558" s="2">
        <f t="shared" si="32"/>
        <v>0</v>
      </c>
      <c r="H558" s="2">
        <f t="shared" si="33"/>
        <v>0</v>
      </c>
      <c r="I558" s="2">
        <f t="shared" si="34"/>
        <v>1</v>
      </c>
      <c r="J558" s="2">
        <v>100</v>
      </c>
      <c r="K558" s="2" t="s">
        <v>49</v>
      </c>
      <c r="L558" s="2">
        <v>17</v>
      </c>
      <c r="M558" t="str" cm="1">
        <f t="array" ref="M558">_xlfn.IFS(L558&lt;=14,"Short",L558&lt;=30,"Medium",L558&lt;=45,"Long",L558&lt;=60,"Very Long")</f>
        <v>Medium</v>
      </c>
      <c r="N558" s="2" t="s">
        <v>13</v>
      </c>
      <c r="O558" s="3">
        <v>6.7</v>
      </c>
    </row>
    <row r="559" spans="1:15" x14ac:dyDescent="0.25">
      <c r="A559" s="4" t="s">
        <v>618</v>
      </c>
      <c r="B559" s="5">
        <v>59</v>
      </c>
      <c r="C559" t="str" cm="1">
        <f t="array" ref="C559">_xlfn.IFS(B559&lt;=30,"Young",B559&lt;=50,"Middle-aged",B559&gt;50,"Older")</f>
        <v>Older</v>
      </c>
      <c r="D559" s="5" t="s">
        <v>19</v>
      </c>
      <c r="E559" s="5" t="s">
        <v>15</v>
      </c>
      <c r="F559" s="5">
        <f t="shared" si="35"/>
        <v>1</v>
      </c>
      <c r="G559" s="5">
        <f t="shared" si="32"/>
        <v>0</v>
      </c>
      <c r="H559" s="5">
        <f t="shared" si="33"/>
        <v>0</v>
      </c>
      <c r="I559" s="5">
        <f t="shared" si="34"/>
        <v>0</v>
      </c>
      <c r="J559" s="5">
        <v>850</v>
      </c>
      <c r="K559" s="5" t="s">
        <v>63</v>
      </c>
      <c r="L559" s="5">
        <v>38</v>
      </c>
      <c r="M559" t="str" cm="1">
        <f t="array" ref="M559">_xlfn.IFS(L559&lt;=14,"Short",L559&lt;=30,"Medium",L559&lt;=45,"Long",L559&lt;=60,"Very Long")</f>
        <v>Long</v>
      </c>
      <c r="N559" s="5" t="s">
        <v>110</v>
      </c>
      <c r="O559" s="6">
        <v>6.9</v>
      </c>
    </row>
    <row r="560" spans="1:15" x14ac:dyDescent="0.25">
      <c r="A560" s="1" t="s">
        <v>619</v>
      </c>
      <c r="B560" s="2">
        <v>23</v>
      </c>
      <c r="C560" t="str" cm="1">
        <f t="array" ref="C560">_xlfn.IFS(B560&lt;=30,"Young",B560&lt;=50,"Middle-aged",B560&gt;50,"Older")</f>
        <v>Young</v>
      </c>
      <c r="D560" s="2" t="s">
        <v>10</v>
      </c>
      <c r="E560" s="2" t="s">
        <v>15</v>
      </c>
      <c r="F560" s="2">
        <f t="shared" si="35"/>
        <v>1</v>
      </c>
      <c r="G560" s="2">
        <f t="shared" si="32"/>
        <v>0</v>
      </c>
      <c r="H560" s="2">
        <f t="shared" si="33"/>
        <v>0</v>
      </c>
      <c r="I560" s="2">
        <f t="shared" si="34"/>
        <v>0</v>
      </c>
      <c r="J560" s="2">
        <v>50</v>
      </c>
      <c r="K560" s="2" t="s">
        <v>44</v>
      </c>
      <c r="L560" s="2">
        <v>8</v>
      </c>
      <c r="M560" t="str" cm="1">
        <f t="array" ref="M560">_xlfn.IFS(L560&lt;=14,"Short",L560&lt;=30,"Medium",L560&lt;=45,"Long",L560&lt;=60,"Very Long")</f>
        <v>Short</v>
      </c>
      <c r="N560" s="2" t="s">
        <v>30</v>
      </c>
      <c r="O560" s="3">
        <v>4.7</v>
      </c>
    </row>
    <row r="561" spans="1:15" x14ac:dyDescent="0.25">
      <c r="A561" s="4" t="s">
        <v>620</v>
      </c>
      <c r="B561" s="5">
        <v>32</v>
      </c>
      <c r="C561" t="str" cm="1">
        <f t="array" ref="C561">_xlfn.IFS(B561&lt;=30,"Young",B561&lt;=50,"Middle-aged",B561&gt;50,"Older")</f>
        <v>Middle-aged</v>
      </c>
      <c r="D561" s="5" t="s">
        <v>19</v>
      </c>
      <c r="E561" s="5" t="s">
        <v>20</v>
      </c>
      <c r="F561" s="5">
        <f t="shared" si="35"/>
        <v>0</v>
      </c>
      <c r="G561" s="5">
        <f t="shared" si="32"/>
        <v>1</v>
      </c>
      <c r="H561" s="5">
        <f t="shared" si="33"/>
        <v>0</v>
      </c>
      <c r="I561" s="5">
        <f t="shared" si="34"/>
        <v>0</v>
      </c>
      <c r="J561" s="5">
        <v>50</v>
      </c>
      <c r="K561" s="5" t="s">
        <v>21</v>
      </c>
      <c r="L561" s="5">
        <v>32</v>
      </c>
      <c r="M561" t="str" cm="1">
        <f t="array" ref="M561">_xlfn.IFS(L561&lt;=14,"Short",L561&lt;=30,"Medium",L561&lt;=45,"Long",L561&lt;=60,"Very Long")</f>
        <v>Long</v>
      </c>
      <c r="N561" s="5" t="s">
        <v>41</v>
      </c>
      <c r="O561" s="6">
        <v>7.8</v>
      </c>
    </row>
    <row r="562" spans="1:15" x14ac:dyDescent="0.25">
      <c r="A562" s="1" t="s">
        <v>621</v>
      </c>
      <c r="B562" s="2">
        <v>71</v>
      </c>
      <c r="C562" t="str" cm="1">
        <f t="array" ref="C562">_xlfn.IFS(B562&lt;=30,"Young",B562&lt;=50,"Middle-aged",B562&gt;50,"Older")</f>
        <v>Older</v>
      </c>
      <c r="D562" s="2" t="s">
        <v>10</v>
      </c>
      <c r="E562" s="2" t="s">
        <v>11</v>
      </c>
      <c r="F562" s="2">
        <f t="shared" si="35"/>
        <v>0</v>
      </c>
      <c r="G562" s="2">
        <f t="shared" si="32"/>
        <v>0</v>
      </c>
      <c r="H562" s="2">
        <f t="shared" si="33"/>
        <v>0</v>
      </c>
      <c r="I562" s="2">
        <f t="shared" si="34"/>
        <v>0</v>
      </c>
      <c r="J562" s="2">
        <v>850</v>
      </c>
      <c r="K562" s="2" t="s">
        <v>12</v>
      </c>
      <c r="L562" s="2">
        <v>42</v>
      </c>
      <c r="M562" t="str" cm="1">
        <f t="array" ref="M562">_xlfn.IFS(L562&lt;=14,"Short",L562&lt;=30,"Medium",L562&lt;=45,"Long",L562&lt;=60,"Very Long")</f>
        <v>Long</v>
      </c>
      <c r="N562" s="2" t="s">
        <v>13</v>
      </c>
      <c r="O562" s="3">
        <v>7.9</v>
      </c>
    </row>
    <row r="563" spans="1:15" x14ac:dyDescent="0.25">
      <c r="A563" s="4" t="s">
        <v>622</v>
      </c>
      <c r="B563" s="5">
        <v>60</v>
      </c>
      <c r="C563" t="str" cm="1">
        <f t="array" ref="C563">_xlfn.IFS(B563&lt;=30,"Young",B563&lt;=50,"Middle-aged",B563&gt;50,"Older")</f>
        <v>Older</v>
      </c>
      <c r="D563" s="5" t="s">
        <v>19</v>
      </c>
      <c r="E563" s="5" t="s">
        <v>11</v>
      </c>
      <c r="F563" s="5">
        <f t="shared" si="35"/>
        <v>0</v>
      </c>
      <c r="G563" s="5">
        <f t="shared" si="32"/>
        <v>0</v>
      </c>
      <c r="H563" s="5">
        <f t="shared" si="33"/>
        <v>0</v>
      </c>
      <c r="I563" s="5">
        <f t="shared" si="34"/>
        <v>0</v>
      </c>
      <c r="J563" s="5">
        <v>100</v>
      </c>
      <c r="K563" s="5" t="s">
        <v>84</v>
      </c>
      <c r="L563" s="5">
        <v>35</v>
      </c>
      <c r="M563" t="str" cm="1">
        <f t="array" ref="M563">_xlfn.IFS(L563&lt;=14,"Short",L563&lt;=30,"Medium",L563&lt;=45,"Long",L563&lt;=60,"Very Long")</f>
        <v>Long</v>
      </c>
      <c r="N563" s="5" t="s">
        <v>97</v>
      </c>
      <c r="O563" s="6">
        <v>6.9</v>
      </c>
    </row>
    <row r="564" spans="1:15" x14ac:dyDescent="0.25">
      <c r="A564" s="1" t="s">
        <v>623</v>
      </c>
      <c r="B564" s="2">
        <v>77</v>
      </c>
      <c r="C564" t="str" cm="1">
        <f t="array" ref="C564">_xlfn.IFS(B564&lt;=30,"Young",B564&lt;=50,"Middle-aged",B564&gt;50,"Older")</f>
        <v>Older</v>
      </c>
      <c r="D564" s="2" t="s">
        <v>10</v>
      </c>
      <c r="E564" s="2" t="s">
        <v>15</v>
      </c>
      <c r="F564" s="2">
        <f t="shared" si="35"/>
        <v>1</v>
      </c>
      <c r="G564" s="2">
        <f t="shared" si="32"/>
        <v>0</v>
      </c>
      <c r="H564" s="2">
        <f t="shared" si="33"/>
        <v>0</v>
      </c>
      <c r="I564" s="2">
        <f t="shared" si="34"/>
        <v>0</v>
      </c>
      <c r="J564" s="2">
        <v>500</v>
      </c>
      <c r="K564" s="2" t="s">
        <v>63</v>
      </c>
      <c r="L564" s="2">
        <v>59</v>
      </c>
      <c r="M564" t="str" cm="1">
        <f t="array" ref="M564">_xlfn.IFS(L564&lt;=14,"Short",L564&lt;=30,"Medium",L564&lt;=45,"Long",L564&lt;=60,"Very Long")</f>
        <v>Very Long</v>
      </c>
      <c r="N564" s="2" t="s">
        <v>41</v>
      </c>
      <c r="O564" s="3">
        <v>8.6999999999999993</v>
      </c>
    </row>
    <row r="565" spans="1:15" x14ac:dyDescent="0.25">
      <c r="A565" s="4" t="s">
        <v>624</v>
      </c>
      <c r="B565" s="5">
        <v>54</v>
      </c>
      <c r="C565" t="str" cm="1">
        <f t="array" ref="C565">_xlfn.IFS(B565&lt;=30,"Young",B565&lt;=50,"Middle-aged",B565&gt;50,"Older")</f>
        <v>Older</v>
      </c>
      <c r="D565" s="5" t="s">
        <v>19</v>
      </c>
      <c r="E565" s="5" t="s">
        <v>24</v>
      </c>
      <c r="F565" s="5">
        <f t="shared" si="35"/>
        <v>0</v>
      </c>
      <c r="G565" s="5">
        <f t="shared" si="32"/>
        <v>0</v>
      </c>
      <c r="H565" s="5">
        <f t="shared" si="33"/>
        <v>1</v>
      </c>
      <c r="I565" s="5">
        <f t="shared" si="34"/>
        <v>0</v>
      </c>
      <c r="J565" s="5">
        <v>850</v>
      </c>
      <c r="K565" s="5" t="s">
        <v>59</v>
      </c>
      <c r="L565" s="5">
        <v>31</v>
      </c>
      <c r="M565" t="str" cm="1">
        <f t="array" ref="M565">_xlfn.IFS(L565&lt;=14,"Short",L565&lt;=30,"Medium",L565&lt;=45,"Long",L565&lt;=60,"Very Long")</f>
        <v>Long</v>
      </c>
      <c r="N565" s="5" t="s">
        <v>60</v>
      </c>
      <c r="O565" s="6">
        <v>6.5</v>
      </c>
    </row>
    <row r="566" spans="1:15" x14ac:dyDescent="0.25">
      <c r="A566" s="1" t="s">
        <v>625</v>
      </c>
      <c r="B566" s="2">
        <v>50</v>
      </c>
      <c r="C566" t="str" cm="1">
        <f t="array" ref="C566">_xlfn.IFS(B566&lt;=30,"Young",B566&lt;=50,"Middle-aged",B566&gt;50,"Older")</f>
        <v>Middle-aged</v>
      </c>
      <c r="D566" s="2" t="s">
        <v>10</v>
      </c>
      <c r="E566" s="2" t="s">
        <v>33</v>
      </c>
      <c r="F566" s="2">
        <f t="shared" si="35"/>
        <v>0</v>
      </c>
      <c r="G566" s="2">
        <f t="shared" si="32"/>
        <v>0</v>
      </c>
      <c r="H566" s="2">
        <f t="shared" si="33"/>
        <v>0</v>
      </c>
      <c r="I566" s="2">
        <f t="shared" si="34"/>
        <v>1</v>
      </c>
      <c r="J566" s="2">
        <v>50</v>
      </c>
      <c r="K566" s="2" t="s">
        <v>34</v>
      </c>
      <c r="L566" s="2">
        <v>9</v>
      </c>
      <c r="M566" t="str" cm="1">
        <f t="array" ref="M566">_xlfn.IFS(L566&lt;=14,"Short",L566&lt;=30,"Medium",L566&lt;=45,"Long",L566&lt;=60,"Very Long")</f>
        <v>Short</v>
      </c>
      <c r="N566" s="2" t="s">
        <v>35</v>
      </c>
      <c r="O566" s="3">
        <v>7.8</v>
      </c>
    </row>
    <row r="567" spans="1:15" x14ac:dyDescent="0.25">
      <c r="A567" s="4" t="s">
        <v>626</v>
      </c>
      <c r="B567" s="5">
        <v>25</v>
      </c>
      <c r="C567" t="str" cm="1">
        <f t="array" ref="C567">_xlfn.IFS(B567&lt;=30,"Young",B567&lt;=50,"Middle-aged",B567&gt;50,"Older")</f>
        <v>Young</v>
      </c>
      <c r="D567" s="5" t="s">
        <v>19</v>
      </c>
      <c r="E567" s="5" t="s">
        <v>24</v>
      </c>
      <c r="F567" s="5">
        <f t="shared" si="35"/>
        <v>0</v>
      </c>
      <c r="G567" s="5">
        <f t="shared" si="32"/>
        <v>0</v>
      </c>
      <c r="H567" s="5">
        <f t="shared" si="33"/>
        <v>1</v>
      </c>
      <c r="I567" s="5">
        <f t="shared" si="34"/>
        <v>0</v>
      </c>
      <c r="J567" s="5">
        <v>250</v>
      </c>
      <c r="K567" s="5" t="s">
        <v>25</v>
      </c>
      <c r="L567" s="5">
        <v>29</v>
      </c>
      <c r="M567" t="str" cm="1">
        <f t="array" ref="M567">_xlfn.IFS(L567&lt;=14,"Short",L567&lt;=30,"Medium",L567&lt;=45,"Long",L567&lt;=60,"Very Long")</f>
        <v>Medium</v>
      </c>
      <c r="N567" s="5" t="s">
        <v>13</v>
      </c>
      <c r="O567" s="6">
        <v>5.5</v>
      </c>
    </row>
    <row r="568" spans="1:15" x14ac:dyDescent="0.25">
      <c r="A568" s="1" t="s">
        <v>627</v>
      </c>
      <c r="B568" s="2">
        <v>70</v>
      </c>
      <c r="C568" t="str" cm="1">
        <f t="array" ref="C568">_xlfn.IFS(B568&lt;=30,"Young",B568&lt;=50,"Middle-aged",B568&gt;50,"Older")</f>
        <v>Older</v>
      </c>
      <c r="D568" s="2" t="s">
        <v>10</v>
      </c>
      <c r="E568" s="2" t="s">
        <v>24</v>
      </c>
      <c r="F568" s="2">
        <f t="shared" si="35"/>
        <v>0</v>
      </c>
      <c r="G568" s="2">
        <f t="shared" si="32"/>
        <v>0</v>
      </c>
      <c r="H568" s="2">
        <f t="shared" si="33"/>
        <v>1</v>
      </c>
      <c r="I568" s="2">
        <f t="shared" si="34"/>
        <v>0</v>
      </c>
      <c r="J568" s="2">
        <v>250</v>
      </c>
      <c r="K568" s="2" t="s">
        <v>39</v>
      </c>
      <c r="L568" s="2">
        <v>7</v>
      </c>
      <c r="M568" t="str" cm="1">
        <f t="array" ref="M568">_xlfn.IFS(L568&lt;=14,"Short",L568&lt;=30,"Medium",L568&lt;=45,"Long",L568&lt;=60,"Very Long")</f>
        <v>Short</v>
      </c>
      <c r="N568" s="2" t="s">
        <v>136</v>
      </c>
      <c r="O568" s="3">
        <v>7</v>
      </c>
    </row>
    <row r="569" spans="1:15" x14ac:dyDescent="0.25">
      <c r="A569" s="4" t="s">
        <v>628</v>
      </c>
      <c r="B569" s="5">
        <v>77</v>
      </c>
      <c r="C569" t="str" cm="1">
        <f t="array" ref="C569">_xlfn.IFS(B569&lt;=30,"Young",B569&lt;=50,"Middle-aged",B569&gt;50,"Older")</f>
        <v>Older</v>
      </c>
      <c r="D569" s="5" t="s">
        <v>19</v>
      </c>
      <c r="E569" s="5" t="s">
        <v>15</v>
      </c>
      <c r="F569" s="5">
        <f t="shared" si="35"/>
        <v>1</v>
      </c>
      <c r="G569" s="5">
        <f t="shared" si="32"/>
        <v>0</v>
      </c>
      <c r="H569" s="5">
        <f t="shared" si="33"/>
        <v>0</v>
      </c>
      <c r="I569" s="5">
        <f t="shared" si="34"/>
        <v>0</v>
      </c>
      <c r="J569" s="5">
        <v>850</v>
      </c>
      <c r="K569" s="5" t="s">
        <v>16</v>
      </c>
      <c r="L569" s="5">
        <v>37</v>
      </c>
      <c r="M569" t="str" cm="1">
        <f t="array" ref="M569">_xlfn.IFS(L569&lt;=14,"Short",L569&lt;=30,"Medium",L569&lt;=45,"Long",L569&lt;=60,"Very Long")</f>
        <v>Long</v>
      </c>
      <c r="N569" s="5" t="s">
        <v>17</v>
      </c>
      <c r="O569" s="6">
        <v>6.7</v>
      </c>
    </row>
    <row r="570" spans="1:15" x14ac:dyDescent="0.25">
      <c r="A570" s="1" t="s">
        <v>629</v>
      </c>
      <c r="B570" s="2">
        <v>61</v>
      </c>
      <c r="C570" t="str" cm="1">
        <f t="array" ref="C570">_xlfn.IFS(B570&lt;=30,"Young",B570&lt;=50,"Middle-aged",B570&gt;50,"Older")</f>
        <v>Older</v>
      </c>
      <c r="D570" s="2" t="s">
        <v>10</v>
      </c>
      <c r="E570" s="2" t="s">
        <v>15</v>
      </c>
      <c r="F570" s="2">
        <f t="shared" si="35"/>
        <v>1</v>
      </c>
      <c r="G570" s="2">
        <f t="shared" si="32"/>
        <v>0</v>
      </c>
      <c r="H570" s="2">
        <f t="shared" si="33"/>
        <v>0</v>
      </c>
      <c r="I570" s="2">
        <f t="shared" si="34"/>
        <v>0</v>
      </c>
      <c r="J570" s="2">
        <v>250</v>
      </c>
      <c r="K570" s="2" t="s">
        <v>63</v>
      </c>
      <c r="L570" s="2">
        <v>8</v>
      </c>
      <c r="M570" t="str" cm="1">
        <f t="array" ref="M570">_xlfn.IFS(L570&lt;=14,"Short",L570&lt;=30,"Medium",L570&lt;=45,"Long",L570&lt;=60,"Very Long")</f>
        <v>Short</v>
      </c>
      <c r="N570" s="2" t="s">
        <v>41</v>
      </c>
      <c r="O570" s="3">
        <v>7.3</v>
      </c>
    </row>
    <row r="571" spans="1:15" x14ac:dyDescent="0.25">
      <c r="A571" s="4" t="s">
        <v>630</v>
      </c>
      <c r="B571" s="5">
        <v>61</v>
      </c>
      <c r="C571" t="str" cm="1">
        <f t="array" ref="C571">_xlfn.IFS(B571&lt;=30,"Young",B571&lt;=50,"Middle-aged",B571&gt;50,"Older")</f>
        <v>Older</v>
      </c>
      <c r="D571" s="5" t="s">
        <v>19</v>
      </c>
      <c r="E571" s="5" t="s">
        <v>15</v>
      </c>
      <c r="F571" s="5">
        <f t="shared" si="35"/>
        <v>1</v>
      </c>
      <c r="G571" s="5">
        <f t="shared" si="32"/>
        <v>0</v>
      </c>
      <c r="H571" s="5">
        <f t="shared" si="33"/>
        <v>0</v>
      </c>
      <c r="I571" s="5">
        <f t="shared" si="34"/>
        <v>0</v>
      </c>
      <c r="J571" s="5">
        <v>850</v>
      </c>
      <c r="K571" s="5" t="s">
        <v>16</v>
      </c>
      <c r="L571" s="5">
        <v>29</v>
      </c>
      <c r="M571" t="str" cm="1">
        <f t="array" ref="M571">_xlfn.IFS(L571&lt;=14,"Short",L571&lt;=30,"Medium",L571&lt;=45,"Long",L571&lt;=60,"Very Long")</f>
        <v>Medium</v>
      </c>
      <c r="N571" s="5" t="s">
        <v>17</v>
      </c>
      <c r="O571" s="6">
        <v>6.4</v>
      </c>
    </row>
    <row r="572" spans="1:15" x14ac:dyDescent="0.25">
      <c r="A572" s="1" t="s">
        <v>631</v>
      </c>
      <c r="B572" s="2">
        <v>22</v>
      </c>
      <c r="C572" t="str" cm="1">
        <f t="array" ref="C572">_xlfn.IFS(B572&lt;=30,"Young",B572&lt;=50,"Middle-aged",B572&gt;50,"Older")</f>
        <v>Young</v>
      </c>
      <c r="D572" s="2" t="s">
        <v>10</v>
      </c>
      <c r="E572" s="2" t="s">
        <v>15</v>
      </c>
      <c r="F572" s="2">
        <f t="shared" si="35"/>
        <v>1</v>
      </c>
      <c r="G572" s="2">
        <f t="shared" si="32"/>
        <v>0</v>
      </c>
      <c r="H572" s="2">
        <f t="shared" si="33"/>
        <v>0</v>
      </c>
      <c r="I572" s="2">
        <f t="shared" si="34"/>
        <v>0</v>
      </c>
      <c r="J572" s="2">
        <v>250</v>
      </c>
      <c r="K572" s="2" t="s">
        <v>44</v>
      </c>
      <c r="L572" s="2">
        <v>24</v>
      </c>
      <c r="M572" t="str" cm="1">
        <f t="array" ref="M572">_xlfn.IFS(L572&lt;=14,"Short",L572&lt;=30,"Medium",L572&lt;=45,"Long",L572&lt;=60,"Very Long")</f>
        <v>Medium</v>
      </c>
      <c r="N572" s="2" t="s">
        <v>101</v>
      </c>
      <c r="O572" s="3">
        <v>6.8</v>
      </c>
    </row>
    <row r="573" spans="1:15" x14ac:dyDescent="0.25">
      <c r="A573" s="4" t="s">
        <v>632</v>
      </c>
      <c r="B573" s="5">
        <v>56</v>
      </c>
      <c r="C573" t="str" cm="1">
        <f t="array" ref="C573">_xlfn.IFS(B573&lt;=30,"Young",B573&lt;=50,"Middle-aged",B573&gt;50,"Older")</f>
        <v>Older</v>
      </c>
      <c r="D573" s="5" t="s">
        <v>10</v>
      </c>
      <c r="E573" s="5" t="s">
        <v>11</v>
      </c>
      <c r="F573" s="5">
        <f t="shared" si="35"/>
        <v>0</v>
      </c>
      <c r="G573" s="5">
        <f t="shared" si="32"/>
        <v>0</v>
      </c>
      <c r="H573" s="5">
        <f t="shared" si="33"/>
        <v>0</v>
      </c>
      <c r="I573" s="5">
        <f t="shared" si="34"/>
        <v>0</v>
      </c>
      <c r="J573" s="5">
        <v>100</v>
      </c>
      <c r="K573" s="5" t="s">
        <v>12</v>
      </c>
      <c r="L573" s="5">
        <v>38</v>
      </c>
      <c r="M573" t="str" cm="1">
        <f t="array" ref="M573">_xlfn.IFS(L573&lt;=14,"Short",L573&lt;=30,"Medium",L573&lt;=45,"Long",L573&lt;=60,"Very Long")</f>
        <v>Long</v>
      </c>
      <c r="N573" s="5" t="s">
        <v>120</v>
      </c>
      <c r="O573" s="6">
        <v>8.1999999999999993</v>
      </c>
    </row>
    <row r="574" spans="1:15" x14ac:dyDescent="0.25">
      <c r="A574" s="1" t="s">
        <v>633</v>
      </c>
      <c r="B574" s="2">
        <v>21</v>
      </c>
      <c r="C574" t="str" cm="1">
        <f t="array" ref="C574">_xlfn.IFS(B574&lt;=30,"Young",B574&lt;=50,"Middle-aged",B574&gt;50,"Older")</f>
        <v>Young</v>
      </c>
      <c r="D574" s="2" t="s">
        <v>19</v>
      </c>
      <c r="E574" s="2" t="s">
        <v>15</v>
      </c>
      <c r="F574" s="2">
        <f t="shared" si="35"/>
        <v>1</v>
      </c>
      <c r="G574" s="2">
        <f t="shared" si="32"/>
        <v>0</v>
      </c>
      <c r="H574" s="2">
        <f t="shared" si="33"/>
        <v>0</v>
      </c>
      <c r="I574" s="2">
        <f t="shared" si="34"/>
        <v>0</v>
      </c>
      <c r="J574" s="2">
        <v>850</v>
      </c>
      <c r="K574" s="2" t="s">
        <v>16</v>
      </c>
      <c r="L574" s="2">
        <v>30</v>
      </c>
      <c r="M574" t="str" cm="1">
        <f t="array" ref="M574">_xlfn.IFS(L574&lt;=14,"Short",L574&lt;=30,"Medium",L574&lt;=45,"Long",L574&lt;=60,"Very Long")</f>
        <v>Medium</v>
      </c>
      <c r="N574" s="2" t="s">
        <v>17</v>
      </c>
      <c r="O574" s="3">
        <v>6.3</v>
      </c>
    </row>
    <row r="575" spans="1:15" x14ac:dyDescent="0.25">
      <c r="A575" s="4" t="s">
        <v>634</v>
      </c>
      <c r="B575" s="5">
        <v>23</v>
      </c>
      <c r="C575" t="str" cm="1">
        <f t="array" ref="C575">_xlfn.IFS(B575&lt;=30,"Young",B575&lt;=50,"Middle-aged",B575&gt;50,"Older")</f>
        <v>Young</v>
      </c>
      <c r="D575" s="5" t="s">
        <v>19</v>
      </c>
      <c r="E575" s="5" t="s">
        <v>11</v>
      </c>
      <c r="F575" s="5">
        <f t="shared" si="35"/>
        <v>0</v>
      </c>
      <c r="G575" s="5">
        <f t="shared" si="32"/>
        <v>0</v>
      </c>
      <c r="H575" s="5">
        <f t="shared" si="33"/>
        <v>0</v>
      </c>
      <c r="I575" s="5">
        <f t="shared" si="34"/>
        <v>0</v>
      </c>
      <c r="J575" s="5">
        <v>250</v>
      </c>
      <c r="K575" s="5" t="s">
        <v>51</v>
      </c>
      <c r="L575" s="5">
        <v>9</v>
      </c>
      <c r="M575" t="str" cm="1">
        <f t="array" ref="M575">_xlfn.IFS(L575&lt;=14,"Short",L575&lt;=30,"Medium",L575&lt;=45,"Long",L575&lt;=60,"Very Long")</f>
        <v>Short</v>
      </c>
      <c r="N575" s="5" t="s">
        <v>13</v>
      </c>
      <c r="O575" s="6">
        <v>4.5999999999999996</v>
      </c>
    </row>
    <row r="576" spans="1:15" x14ac:dyDescent="0.25">
      <c r="A576" s="1" t="s">
        <v>635</v>
      </c>
      <c r="B576" s="2">
        <v>62</v>
      </c>
      <c r="C576" t="str" cm="1">
        <f t="array" ref="C576">_xlfn.IFS(B576&lt;=30,"Young",B576&lt;=50,"Middle-aged",B576&gt;50,"Older")</f>
        <v>Older</v>
      </c>
      <c r="D576" s="2" t="s">
        <v>10</v>
      </c>
      <c r="E576" s="2" t="s">
        <v>11</v>
      </c>
      <c r="F576" s="2">
        <f t="shared" si="35"/>
        <v>0</v>
      </c>
      <c r="G576" s="2">
        <f t="shared" si="32"/>
        <v>0</v>
      </c>
      <c r="H576" s="2">
        <f t="shared" si="33"/>
        <v>0</v>
      </c>
      <c r="I576" s="2">
        <f t="shared" si="34"/>
        <v>0</v>
      </c>
      <c r="J576" s="2">
        <v>850</v>
      </c>
      <c r="K576" s="2" t="s">
        <v>12</v>
      </c>
      <c r="L576" s="2">
        <v>39</v>
      </c>
      <c r="M576" t="str" cm="1">
        <f t="array" ref="M576">_xlfn.IFS(L576&lt;=14,"Short",L576&lt;=30,"Medium",L576&lt;=45,"Long",L576&lt;=60,"Very Long")</f>
        <v>Long</v>
      </c>
      <c r="N576" s="2" t="s">
        <v>30</v>
      </c>
      <c r="O576" s="3">
        <v>9.6</v>
      </c>
    </row>
    <row r="577" spans="1:15" x14ac:dyDescent="0.25">
      <c r="A577" s="4" t="s">
        <v>636</v>
      </c>
      <c r="B577" s="5">
        <v>49</v>
      </c>
      <c r="C577" t="str" cm="1">
        <f t="array" ref="C577">_xlfn.IFS(B577&lt;=30,"Young",B577&lt;=50,"Middle-aged",B577&gt;50,"Older")</f>
        <v>Middle-aged</v>
      </c>
      <c r="D577" s="5" t="s">
        <v>19</v>
      </c>
      <c r="E577" s="5" t="s">
        <v>15</v>
      </c>
      <c r="F577" s="5">
        <f t="shared" si="35"/>
        <v>1</v>
      </c>
      <c r="G577" s="5">
        <f t="shared" si="32"/>
        <v>0</v>
      </c>
      <c r="H577" s="5">
        <f t="shared" si="33"/>
        <v>0</v>
      </c>
      <c r="I577" s="5">
        <f t="shared" si="34"/>
        <v>0</v>
      </c>
      <c r="J577" s="5">
        <v>850</v>
      </c>
      <c r="K577" s="5" t="s">
        <v>63</v>
      </c>
      <c r="L577" s="5">
        <v>32</v>
      </c>
      <c r="M577" t="str" cm="1">
        <f t="array" ref="M577">_xlfn.IFS(L577&lt;=14,"Short",L577&lt;=30,"Medium",L577&lt;=45,"Long",L577&lt;=60,"Very Long")</f>
        <v>Long</v>
      </c>
      <c r="N577" s="5" t="s">
        <v>64</v>
      </c>
      <c r="O577" s="6">
        <v>9.1</v>
      </c>
    </row>
    <row r="578" spans="1:15" x14ac:dyDescent="0.25">
      <c r="A578" s="1" t="s">
        <v>637</v>
      </c>
      <c r="B578" s="2">
        <v>69</v>
      </c>
      <c r="C578" t="str" cm="1">
        <f t="array" ref="C578">_xlfn.IFS(B578&lt;=30,"Young",B578&lt;=50,"Middle-aged",B578&gt;50,"Older")</f>
        <v>Older</v>
      </c>
      <c r="D578" s="2" t="s">
        <v>10</v>
      </c>
      <c r="E578" s="2" t="s">
        <v>20</v>
      </c>
      <c r="F578" s="2">
        <f t="shared" si="35"/>
        <v>0</v>
      </c>
      <c r="G578" s="2">
        <f t="shared" ref="G578:G641" si="36">IF($E578="Depression",1,0)</f>
        <v>1</v>
      </c>
      <c r="H578" s="2">
        <f t="shared" ref="H578:H641" si="37">IF($E578="Diabetes",1,0)</f>
        <v>0</v>
      </c>
      <c r="I578" s="2">
        <f t="shared" ref="I578:I641" si="38">IF($E578="Pain relief",1,0)</f>
        <v>0</v>
      </c>
      <c r="J578" s="2">
        <v>100</v>
      </c>
      <c r="K578" s="2" t="s">
        <v>21</v>
      </c>
      <c r="L578" s="2">
        <v>33</v>
      </c>
      <c r="M578" t="str" cm="1">
        <f t="array" ref="M578">_xlfn.IFS(L578&lt;=14,"Short",L578&lt;=30,"Medium",L578&lt;=45,"Long",L578&lt;=60,"Very Long")</f>
        <v>Long</v>
      </c>
      <c r="N578" s="2" t="s">
        <v>22</v>
      </c>
      <c r="O578" s="3">
        <v>5.0999999999999996</v>
      </c>
    </row>
    <row r="579" spans="1:15" x14ac:dyDescent="0.25">
      <c r="A579" s="4" t="s">
        <v>638</v>
      </c>
      <c r="B579" s="5">
        <v>47</v>
      </c>
      <c r="C579" t="str" cm="1">
        <f t="array" ref="C579">_xlfn.IFS(B579&lt;=30,"Young",B579&lt;=50,"Middle-aged",B579&gt;50,"Older")</f>
        <v>Middle-aged</v>
      </c>
      <c r="D579" s="5" t="s">
        <v>10</v>
      </c>
      <c r="E579" s="5" t="s">
        <v>33</v>
      </c>
      <c r="F579" s="5">
        <f t="shared" ref="F579:F642" si="39">IF($E579="Hypertension",1,0)</f>
        <v>0</v>
      </c>
      <c r="G579" s="5">
        <f t="shared" si="36"/>
        <v>0</v>
      </c>
      <c r="H579" s="5">
        <f t="shared" si="37"/>
        <v>0</v>
      </c>
      <c r="I579" s="5">
        <f t="shared" si="38"/>
        <v>1</v>
      </c>
      <c r="J579" s="5">
        <v>250</v>
      </c>
      <c r="K579" s="5" t="s">
        <v>34</v>
      </c>
      <c r="L579" s="5">
        <v>13</v>
      </c>
      <c r="M579" t="str" cm="1">
        <f t="array" ref="M579">_xlfn.IFS(L579&lt;=14,"Short",L579&lt;=30,"Medium",L579&lt;=45,"Long",L579&lt;=60,"Very Long")</f>
        <v>Short</v>
      </c>
      <c r="N579" s="5" t="s">
        <v>35</v>
      </c>
      <c r="O579" s="6">
        <v>8</v>
      </c>
    </row>
    <row r="580" spans="1:15" x14ac:dyDescent="0.25">
      <c r="A580" s="1" t="s">
        <v>639</v>
      </c>
      <c r="B580" s="2">
        <v>64</v>
      </c>
      <c r="C580" t="str" cm="1">
        <f t="array" ref="C580">_xlfn.IFS(B580&lt;=30,"Young",B580&lt;=50,"Middle-aged",B580&gt;50,"Older")</f>
        <v>Older</v>
      </c>
      <c r="D580" s="2" t="s">
        <v>10</v>
      </c>
      <c r="E580" s="2" t="s">
        <v>24</v>
      </c>
      <c r="F580" s="2">
        <f t="shared" si="39"/>
        <v>0</v>
      </c>
      <c r="G580" s="2">
        <f t="shared" si="36"/>
        <v>0</v>
      </c>
      <c r="H580" s="2">
        <f t="shared" si="37"/>
        <v>1</v>
      </c>
      <c r="I580" s="2">
        <f t="shared" si="38"/>
        <v>0</v>
      </c>
      <c r="J580" s="2">
        <v>250</v>
      </c>
      <c r="K580" s="2" t="s">
        <v>39</v>
      </c>
      <c r="L580" s="2">
        <v>56</v>
      </c>
      <c r="M580" t="str" cm="1">
        <f t="array" ref="M580">_xlfn.IFS(L580&lt;=14,"Short",L580&lt;=30,"Medium",L580&lt;=45,"Long",L580&lt;=60,"Very Long")</f>
        <v>Very Long</v>
      </c>
      <c r="N580" s="2" t="s">
        <v>136</v>
      </c>
      <c r="O580" s="3">
        <v>6.2</v>
      </c>
    </row>
    <row r="581" spans="1:15" x14ac:dyDescent="0.25">
      <c r="A581" s="4" t="s">
        <v>640</v>
      </c>
      <c r="B581" s="5">
        <v>52</v>
      </c>
      <c r="C581" t="str" cm="1">
        <f t="array" ref="C581">_xlfn.IFS(B581&lt;=30,"Young",B581&lt;=50,"Middle-aged",B581&gt;50,"Older")</f>
        <v>Older</v>
      </c>
      <c r="D581" s="5" t="s">
        <v>19</v>
      </c>
      <c r="E581" s="5" t="s">
        <v>11</v>
      </c>
      <c r="F581" s="5">
        <f t="shared" si="39"/>
        <v>0</v>
      </c>
      <c r="G581" s="5">
        <f t="shared" si="36"/>
        <v>0</v>
      </c>
      <c r="H581" s="5">
        <f t="shared" si="37"/>
        <v>0</v>
      </c>
      <c r="I581" s="5">
        <f t="shared" si="38"/>
        <v>0</v>
      </c>
      <c r="J581" s="5">
        <v>500</v>
      </c>
      <c r="K581" s="5" t="s">
        <v>84</v>
      </c>
      <c r="L581" s="5">
        <v>42</v>
      </c>
      <c r="M581" t="str" cm="1">
        <f t="array" ref="M581">_xlfn.IFS(L581&lt;=14,"Short",L581&lt;=30,"Medium",L581&lt;=45,"Long",L581&lt;=60,"Very Long")</f>
        <v>Long</v>
      </c>
      <c r="N581" s="5" t="s">
        <v>93</v>
      </c>
      <c r="O581" s="6">
        <v>7.4</v>
      </c>
    </row>
    <row r="582" spans="1:15" x14ac:dyDescent="0.25">
      <c r="A582" s="1" t="s">
        <v>641</v>
      </c>
      <c r="B582" s="2">
        <v>72</v>
      </c>
      <c r="C582" t="str" cm="1">
        <f t="array" ref="C582">_xlfn.IFS(B582&lt;=30,"Young",B582&lt;=50,"Middle-aged",B582&gt;50,"Older")</f>
        <v>Older</v>
      </c>
      <c r="D582" s="2" t="s">
        <v>10</v>
      </c>
      <c r="E582" s="2" t="s">
        <v>33</v>
      </c>
      <c r="F582" s="2">
        <f t="shared" si="39"/>
        <v>0</v>
      </c>
      <c r="G582" s="2">
        <f t="shared" si="36"/>
        <v>0</v>
      </c>
      <c r="H582" s="2">
        <f t="shared" si="37"/>
        <v>0</v>
      </c>
      <c r="I582" s="2">
        <f t="shared" si="38"/>
        <v>1</v>
      </c>
      <c r="J582" s="2">
        <v>50</v>
      </c>
      <c r="K582" s="2" t="s">
        <v>49</v>
      </c>
      <c r="L582" s="2">
        <v>54</v>
      </c>
      <c r="M582" t="str" cm="1">
        <f t="array" ref="M582">_xlfn.IFS(L582&lt;=14,"Short",L582&lt;=30,"Medium",L582&lt;=45,"Long",L582&lt;=60,"Very Long")</f>
        <v>Very Long</v>
      </c>
      <c r="N582" s="2" t="s">
        <v>91</v>
      </c>
      <c r="O582" s="3">
        <v>7.4</v>
      </c>
    </row>
    <row r="583" spans="1:15" x14ac:dyDescent="0.25">
      <c r="A583" s="4" t="s">
        <v>642</v>
      </c>
      <c r="B583" s="5">
        <v>57</v>
      </c>
      <c r="C583" t="str" cm="1">
        <f t="array" ref="C583">_xlfn.IFS(B583&lt;=30,"Young",B583&lt;=50,"Middle-aged",B583&gt;50,"Older")</f>
        <v>Older</v>
      </c>
      <c r="D583" s="5" t="s">
        <v>10</v>
      </c>
      <c r="E583" s="5" t="s">
        <v>20</v>
      </c>
      <c r="F583" s="5">
        <f t="shared" si="39"/>
        <v>0</v>
      </c>
      <c r="G583" s="5">
        <f t="shared" si="36"/>
        <v>1</v>
      </c>
      <c r="H583" s="5">
        <f t="shared" si="37"/>
        <v>0</v>
      </c>
      <c r="I583" s="5">
        <f t="shared" si="38"/>
        <v>0</v>
      </c>
      <c r="J583" s="5">
        <v>850</v>
      </c>
      <c r="K583" s="5" t="s">
        <v>55</v>
      </c>
      <c r="L583" s="5">
        <v>10</v>
      </c>
      <c r="M583" t="str" cm="1">
        <f t="array" ref="M583">_xlfn.IFS(L583&lt;=14,"Short",L583&lt;=30,"Medium",L583&lt;=45,"Long",L583&lt;=60,"Very Long")</f>
        <v>Short</v>
      </c>
      <c r="N583" s="5" t="s">
        <v>148</v>
      </c>
      <c r="O583" s="6">
        <v>6.6</v>
      </c>
    </row>
    <row r="584" spans="1:15" x14ac:dyDescent="0.25">
      <c r="A584" s="1" t="s">
        <v>643</v>
      </c>
      <c r="B584" s="2">
        <v>69</v>
      </c>
      <c r="C584" t="str" cm="1">
        <f t="array" ref="C584">_xlfn.IFS(B584&lt;=30,"Young",B584&lt;=50,"Middle-aged",B584&gt;50,"Older")</f>
        <v>Older</v>
      </c>
      <c r="D584" s="2" t="s">
        <v>19</v>
      </c>
      <c r="E584" s="2" t="s">
        <v>24</v>
      </c>
      <c r="F584" s="2">
        <f t="shared" si="39"/>
        <v>0</v>
      </c>
      <c r="G584" s="2">
        <f t="shared" si="36"/>
        <v>0</v>
      </c>
      <c r="H584" s="2">
        <f t="shared" si="37"/>
        <v>1</v>
      </c>
      <c r="I584" s="2">
        <f t="shared" si="38"/>
        <v>0</v>
      </c>
      <c r="J584" s="2">
        <v>250</v>
      </c>
      <c r="K584" s="2" t="s">
        <v>59</v>
      </c>
      <c r="L584" s="2">
        <v>23</v>
      </c>
      <c r="M584" t="str" cm="1">
        <f t="array" ref="M584">_xlfn.IFS(L584&lt;=14,"Short",L584&lt;=30,"Medium",L584&lt;=45,"Long",L584&lt;=60,"Very Long")</f>
        <v>Medium</v>
      </c>
      <c r="N584" s="2" t="s">
        <v>60</v>
      </c>
      <c r="O584" s="3">
        <v>5.8</v>
      </c>
    </row>
    <row r="585" spans="1:15" x14ac:dyDescent="0.25">
      <c r="A585" s="4" t="s">
        <v>644</v>
      </c>
      <c r="B585" s="5">
        <v>33</v>
      </c>
      <c r="C585" t="str" cm="1">
        <f t="array" ref="C585">_xlfn.IFS(B585&lt;=30,"Young",B585&lt;=50,"Middle-aged",B585&gt;50,"Older")</f>
        <v>Middle-aged</v>
      </c>
      <c r="D585" s="5" t="s">
        <v>19</v>
      </c>
      <c r="E585" s="5" t="s">
        <v>24</v>
      </c>
      <c r="F585" s="5">
        <f t="shared" si="39"/>
        <v>0</v>
      </c>
      <c r="G585" s="5">
        <f t="shared" si="36"/>
        <v>0</v>
      </c>
      <c r="H585" s="5">
        <f t="shared" si="37"/>
        <v>1</v>
      </c>
      <c r="I585" s="5">
        <f t="shared" si="38"/>
        <v>0</v>
      </c>
      <c r="J585" s="5">
        <v>100</v>
      </c>
      <c r="K585" s="5" t="s">
        <v>59</v>
      </c>
      <c r="L585" s="5">
        <v>48</v>
      </c>
      <c r="M585" t="str" cm="1">
        <f t="array" ref="M585">_xlfn.IFS(L585&lt;=14,"Short",L585&lt;=30,"Medium",L585&lt;=45,"Long",L585&lt;=60,"Very Long")</f>
        <v>Very Long</v>
      </c>
      <c r="N585" s="5" t="s">
        <v>60</v>
      </c>
      <c r="O585" s="6">
        <v>6</v>
      </c>
    </row>
    <row r="586" spans="1:15" x14ac:dyDescent="0.25">
      <c r="A586" s="1" t="s">
        <v>645</v>
      </c>
      <c r="B586" s="2">
        <v>30</v>
      </c>
      <c r="C586" t="str" cm="1">
        <f t="array" ref="C586">_xlfn.IFS(B586&lt;=30,"Young",B586&lt;=50,"Middle-aged",B586&gt;50,"Older")</f>
        <v>Young</v>
      </c>
      <c r="D586" s="2" t="s">
        <v>19</v>
      </c>
      <c r="E586" s="2" t="s">
        <v>11</v>
      </c>
      <c r="F586" s="2">
        <f t="shared" si="39"/>
        <v>0</v>
      </c>
      <c r="G586" s="2">
        <f t="shared" si="36"/>
        <v>0</v>
      </c>
      <c r="H586" s="2">
        <f t="shared" si="37"/>
        <v>0</v>
      </c>
      <c r="I586" s="2">
        <f t="shared" si="38"/>
        <v>0</v>
      </c>
      <c r="J586" s="2">
        <v>500</v>
      </c>
      <c r="K586" s="2" t="s">
        <v>12</v>
      </c>
      <c r="L586" s="2">
        <v>15</v>
      </c>
      <c r="M586" t="str" cm="1">
        <f t="array" ref="M586">_xlfn.IFS(L586&lt;=14,"Short",L586&lt;=30,"Medium",L586&lt;=45,"Long",L586&lt;=60,"Very Long")</f>
        <v>Medium</v>
      </c>
      <c r="N586" s="2" t="s">
        <v>120</v>
      </c>
      <c r="O586" s="3">
        <v>5.6</v>
      </c>
    </row>
    <row r="587" spans="1:15" x14ac:dyDescent="0.25">
      <c r="A587" s="4" t="s">
        <v>646</v>
      </c>
      <c r="B587" s="5">
        <v>67</v>
      </c>
      <c r="C587" t="str" cm="1">
        <f t="array" ref="C587">_xlfn.IFS(B587&lt;=30,"Young",B587&lt;=50,"Middle-aged",B587&gt;50,"Older")</f>
        <v>Older</v>
      </c>
      <c r="D587" s="5" t="s">
        <v>19</v>
      </c>
      <c r="E587" s="5" t="s">
        <v>15</v>
      </c>
      <c r="F587" s="5">
        <f t="shared" si="39"/>
        <v>1</v>
      </c>
      <c r="G587" s="5">
        <f t="shared" si="36"/>
        <v>0</v>
      </c>
      <c r="H587" s="5">
        <f t="shared" si="37"/>
        <v>0</v>
      </c>
      <c r="I587" s="5">
        <f t="shared" si="38"/>
        <v>0</v>
      </c>
      <c r="J587" s="5">
        <v>50</v>
      </c>
      <c r="K587" s="5" t="s">
        <v>16</v>
      </c>
      <c r="L587" s="5">
        <v>6</v>
      </c>
      <c r="M587" t="str" cm="1">
        <f t="array" ref="M587">_xlfn.IFS(L587&lt;=14,"Short",L587&lt;=30,"Medium",L587&lt;=45,"Long",L587&lt;=60,"Very Long")</f>
        <v>Short</v>
      </c>
      <c r="N587" s="5" t="s">
        <v>30</v>
      </c>
      <c r="O587" s="6">
        <v>5.8</v>
      </c>
    </row>
    <row r="588" spans="1:15" x14ac:dyDescent="0.25">
      <c r="A588" s="1" t="s">
        <v>647</v>
      </c>
      <c r="B588" s="2">
        <v>77</v>
      </c>
      <c r="C588" t="str" cm="1">
        <f t="array" ref="C588">_xlfn.IFS(B588&lt;=30,"Young",B588&lt;=50,"Middle-aged",B588&gt;50,"Older")</f>
        <v>Older</v>
      </c>
      <c r="D588" s="2" t="s">
        <v>10</v>
      </c>
      <c r="E588" s="2" t="s">
        <v>20</v>
      </c>
      <c r="F588" s="2">
        <f t="shared" si="39"/>
        <v>0</v>
      </c>
      <c r="G588" s="2">
        <f t="shared" si="36"/>
        <v>1</v>
      </c>
      <c r="H588" s="2">
        <f t="shared" si="37"/>
        <v>0</v>
      </c>
      <c r="I588" s="2">
        <f t="shared" si="38"/>
        <v>0</v>
      </c>
      <c r="J588" s="2">
        <v>250</v>
      </c>
      <c r="K588" s="2" t="s">
        <v>37</v>
      </c>
      <c r="L588" s="2">
        <v>51</v>
      </c>
      <c r="M588" t="str" cm="1">
        <f t="array" ref="M588">_xlfn.IFS(L588&lt;=14,"Short",L588&lt;=30,"Medium",L588&lt;=45,"Long",L588&lt;=60,"Very Long")</f>
        <v>Very Long</v>
      </c>
      <c r="N588" s="2" t="s">
        <v>173</v>
      </c>
      <c r="O588" s="3">
        <v>6.9</v>
      </c>
    </row>
    <row r="589" spans="1:15" x14ac:dyDescent="0.25">
      <c r="A589" s="4" t="s">
        <v>648</v>
      </c>
      <c r="B589" s="5">
        <v>59</v>
      </c>
      <c r="C589" t="str" cm="1">
        <f t="array" ref="C589">_xlfn.IFS(B589&lt;=30,"Young",B589&lt;=50,"Middle-aged",B589&gt;50,"Older")</f>
        <v>Older</v>
      </c>
      <c r="D589" s="5" t="s">
        <v>10</v>
      </c>
      <c r="E589" s="5" t="s">
        <v>11</v>
      </c>
      <c r="F589" s="5">
        <f t="shared" si="39"/>
        <v>0</v>
      </c>
      <c r="G589" s="5">
        <f t="shared" si="36"/>
        <v>0</v>
      </c>
      <c r="H589" s="5">
        <f t="shared" si="37"/>
        <v>0</v>
      </c>
      <c r="I589" s="5">
        <f t="shared" si="38"/>
        <v>0</v>
      </c>
      <c r="J589" s="5">
        <v>500</v>
      </c>
      <c r="K589" s="5" t="s">
        <v>51</v>
      </c>
      <c r="L589" s="5">
        <v>48</v>
      </c>
      <c r="M589" t="str" cm="1">
        <f t="array" ref="M589">_xlfn.IFS(L589&lt;=14,"Short",L589&lt;=30,"Medium",L589&lt;=45,"Long",L589&lt;=60,"Very Long")</f>
        <v>Very Long</v>
      </c>
      <c r="N589" s="5" t="s">
        <v>13</v>
      </c>
      <c r="O589" s="6">
        <v>5.9</v>
      </c>
    </row>
    <row r="590" spans="1:15" x14ac:dyDescent="0.25">
      <c r="A590" s="1" t="s">
        <v>649</v>
      </c>
      <c r="B590" s="2">
        <v>47</v>
      </c>
      <c r="C590" t="str" cm="1">
        <f t="array" ref="C590">_xlfn.IFS(B590&lt;=30,"Young",B590&lt;=50,"Middle-aged",B590&gt;50,"Older")</f>
        <v>Middle-aged</v>
      </c>
      <c r="D590" s="2" t="s">
        <v>10</v>
      </c>
      <c r="E590" s="2" t="s">
        <v>20</v>
      </c>
      <c r="F590" s="2">
        <f t="shared" si="39"/>
        <v>0</v>
      </c>
      <c r="G590" s="2">
        <f t="shared" si="36"/>
        <v>1</v>
      </c>
      <c r="H590" s="2">
        <f t="shared" si="37"/>
        <v>0</v>
      </c>
      <c r="I590" s="2">
        <f t="shared" si="38"/>
        <v>0</v>
      </c>
      <c r="J590" s="2">
        <v>250</v>
      </c>
      <c r="K590" s="2" t="s">
        <v>21</v>
      </c>
      <c r="L590" s="2">
        <v>48</v>
      </c>
      <c r="M590" t="str" cm="1">
        <f t="array" ref="M590">_xlfn.IFS(L590&lt;=14,"Short",L590&lt;=30,"Medium",L590&lt;=45,"Long",L590&lt;=60,"Very Long")</f>
        <v>Very Long</v>
      </c>
      <c r="N590" s="2" t="s">
        <v>22</v>
      </c>
      <c r="O590" s="3">
        <v>8</v>
      </c>
    </row>
    <row r="591" spans="1:15" x14ac:dyDescent="0.25">
      <c r="A591" s="4" t="s">
        <v>650</v>
      </c>
      <c r="B591" s="5">
        <v>36</v>
      </c>
      <c r="C591" t="str" cm="1">
        <f t="array" ref="C591">_xlfn.IFS(B591&lt;=30,"Young",B591&lt;=50,"Middle-aged",B591&gt;50,"Older")</f>
        <v>Middle-aged</v>
      </c>
      <c r="D591" s="5" t="s">
        <v>10</v>
      </c>
      <c r="E591" s="5" t="s">
        <v>15</v>
      </c>
      <c r="F591" s="5">
        <f t="shared" si="39"/>
        <v>1</v>
      </c>
      <c r="G591" s="5">
        <f t="shared" si="36"/>
        <v>0</v>
      </c>
      <c r="H591" s="5">
        <f t="shared" si="37"/>
        <v>0</v>
      </c>
      <c r="I591" s="5">
        <f t="shared" si="38"/>
        <v>0</v>
      </c>
      <c r="J591" s="5">
        <v>500</v>
      </c>
      <c r="K591" s="5" t="s">
        <v>44</v>
      </c>
      <c r="L591" s="5">
        <v>13</v>
      </c>
      <c r="M591" t="str" cm="1">
        <f t="array" ref="M591">_xlfn.IFS(L591&lt;=14,"Short",L591&lt;=30,"Medium",L591&lt;=45,"Long",L591&lt;=60,"Very Long")</f>
        <v>Short</v>
      </c>
      <c r="N591" s="5" t="s">
        <v>95</v>
      </c>
      <c r="O591" s="6">
        <v>9.1999999999999993</v>
      </c>
    </row>
    <row r="592" spans="1:15" x14ac:dyDescent="0.25">
      <c r="A592" s="1" t="s">
        <v>651</v>
      </c>
      <c r="B592" s="2">
        <v>34</v>
      </c>
      <c r="C592" t="str" cm="1">
        <f t="array" ref="C592">_xlfn.IFS(B592&lt;=30,"Young",B592&lt;=50,"Middle-aged",B592&gt;50,"Older")</f>
        <v>Middle-aged</v>
      </c>
      <c r="D592" s="2" t="s">
        <v>19</v>
      </c>
      <c r="E592" s="2" t="s">
        <v>15</v>
      </c>
      <c r="F592" s="2">
        <f t="shared" si="39"/>
        <v>1</v>
      </c>
      <c r="G592" s="2">
        <f t="shared" si="36"/>
        <v>0</v>
      </c>
      <c r="H592" s="2">
        <f t="shared" si="37"/>
        <v>0</v>
      </c>
      <c r="I592" s="2">
        <f t="shared" si="38"/>
        <v>0</v>
      </c>
      <c r="J592" s="2">
        <v>250</v>
      </c>
      <c r="K592" s="2" t="s">
        <v>44</v>
      </c>
      <c r="L592" s="2">
        <v>25</v>
      </c>
      <c r="M592" t="str" cm="1">
        <f t="array" ref="M592">_xlfn.IFS(L592&lt;=14,"Short",L592&lt;=30,"Medium",L592&lt;=45,"Long",L592&lt;=60,"Very Long")</f>
        <v>Medium</v>
      </c>
      <c r="N592" s="2" t="s">
        <v>101</v>
      </c>
      <c r="O592" s="3">
        <v>6.1</v>
      </c>
    </row>
    <row r="593" spans="1:15" x14ac:dyDescent="0.25">
      <c r="A593" s="4" t="s">
        <v>652</v>
      </c>
      <c r="B593" s="5">
        <v>73</v>
      </c>
      <c r="C593" t="str" cm="1">
        <f t="array" ref="C593">_xlfn.IFS(B593&lt;=30,"Young",B593&lt;=50,"Middle-aged",B593&gt;50,"Older")</f>
        <v>Older</v>
      </c>
      <c r="D593" s="5" t="s">
        <v>10</v>
      </c>
      <c r="E593" s="5" t="s">
        <v>11</v>
      </c>
      <c r="F593" s="5">
        <f t="shared" si="39"/>
        <v>0</v>
      </c>
      <c r="G593" s="5">
        <f t="shared" si="36"/>
        <v>0</v>
      </c>
      <c r="H593" s="5">
        <f t="shared" si="37"/>
        <v>0</v>
      </c>
      <c r="I593" s="5">
        <f t="shared" si="38"/>
        <v>0</v>
      </c>
      <c r="J593" s="5">
        <v>250</v>
      </c>
      <c r="K593" s="5" t="s">
        <v>51</v>
      </c>
      <c r="L593" s="5">
        <v>28</v>
      </c>
      <c r="M593" t="str" cm="1">
        <f t="array" ref="M593">_xlfn.IFS(L593&lt;=14,"Short",L593&lt;=30,"Medium",L593&lt;=45,"Long",L593&lt;=60,"Very Long")</f>
        <v>Medium</v>
      </c>
      <c r="N593" s="5" t="s">
        <v>41</v>
      </c>
      <c r="O593" s="6">
        <v>7.4</v>
      </c>
    </row>
    <row r="594" spans="1:15" x14ac:dyDescent="0.25">
      <c r="A594" s="1" t="s">
        <v>653</v>
      </c>
      <c r="B594" s="2">
        <v>36</v>
      </c>
      <c r="C594" t="str" cm="1">
        <f t="array" ref="C594">_xlfn.IFS(B594&lt;=30,"Young",B594&lt;=50,"Middle-aged",B594&gt;50,"Older")</f>
        <v>Middle-aged</v>
      </c>
      <c r="D594" s="2" t="s">
        <v>10</v>
      </c>
      <c r="E594" s="2" t="s">
        <v>15</v>
      </c>
      <c r="F594" s="2">
        <f t="shared" si="39"/>
        <v>1</v>
      </c>
      <c r="G594" s="2">
        <f t="shared" si="36"/>
        <v>0</v>
      </c>
      <c r="H594" s="2">
        <f t="shared" si="37"/>
        <v>0</v>
      </c>
      <c r="I594" s="2">
        <f t="shared" si="38"/>
        <v>0</v>
      </c>
      <c r="J594" s="2">
        <v>250</v>
      </c>
      <c r="K594" s="2" t="s">
        <v>63</v>
      </c>
      <c r="L594" s="2">
        <v>38</v>
      </c>
      <c r="M594" t="str" cm="1">
        <f t="array" ref="M594">_xlfn.IFS(L594&lt;=14,"Short",L594&lt;=30,"Medium",L594&lt;=45,"Long",L594&lt;=60,"Very Long")</f>
        <v>Long</v>
      </c>
      <c r="N594" s="2" t="s">
        <v>64</v>
      </c>
      <c r="O594" s="3">
        <v>7.7</v>
      </c>
    </row>
    <row r="595" spans="1:15" x14ac:dyDescent="0.25">
      <c r="A595" s="4" t="s">
        <v>654</v>
      </c>
      <c r="B595" s="5">
        <v>45</v>
      </c>
      <c r="C595" t="str" cm="1">
        <f t="array" ref="C595">_xlfn.IFS(B595&lt;=30,"Young",B595&lt;=50,"Middle-aged",B595&gt;50,"Older")</f>
        <v>Middle-aged</v>
      </c>
      <c r="D595" s="5" t="s">
        <v>19</v>
      </c>
      <c r="E595" s="5" t="s">
        <v>33</v>
      </c>
      <c r="F595" s="5">
        <f t="shared" si="39"/>
        <v>0</v>
      </c>
      <c r="G595" s="5">
        <f t="shared" si="36"/>
        <v>0</v>
      </c>
      <c r="H595" s="5">
        <f t="shared" si="37"/>
        <v>0</v>
      </c>
      <c r="I595" s="5">
        <f t="shared" si="38"/>
        <v>1</v>
      </c>
      <c r="J595" s="5">
        <v>250</v>
      </c>
      <c r="K595" s="5" t="s">
        <v>47</v>
      </c>
      <c r="L595" s="5">
        <v>26</v>
      </c>
      <c r="M595" t="str" cm="1">
        <f t="array" ref="M595">_xlfn.IFS(L595&lt;=14,"Short",L595&lt;=30,"Medium",L595&lt;=45,"Long",L595&lt;=60,"Very Long")</f>
        <v>Medium</v>
      </c>
      <c r="N595" s="5" t="s">
        <v>225</v>
      </c>
      <c r="O595" s="6">
        <v>7.7</v>
      </c>
    </row>
    <row r="596" spans="1:15" x14ac:dyDescent="0.25">
      <c r="A596" s="1" t="s">
        <v>655</v>
      </c>
      <c r="B596" s="2">
        <v>75</v>
      </c>
      <c r="C596" t="str" cm="1">
        <f t="array" ref="C596">_xlfn.IFS(B596&lt;=30,"Young",B596&lt;=50,"Middle-aged",B596&gt;50,"Older")</f>
        <v>Older</v>
      </c>
      <c r="D596" s="2" t="s">
        <v>10</v>
      </c>
      <c r="E596" s="2" t="s">
        <v>24</v>
      </c>
      <c r="F596" s="2">
        <f t="shared" si="39"/>
        <v>0</v>
      </c>
      <c r="G596" s="2">
        <f t="shared" si="36"/>
        <v>0</v>
      </c>
      <c r="H596" s="2">
        <f t="shared" si="37"/>
        <v>1</v>
      </c>
      <c r="I596" s="2">
        <f t="shared" si="38"/>
        <v>0</v>
      </c>
      <c r="J596" s="2">
        <v>250</v>
      </c>
      <c r="K596" s="2" t="s">
        <v>39</v>
      </c>
      <c r="L596" s="2">
        <v>7</v>
      </c>
      <c r="M596" t="str" cm="1">
        <f t="array" ref="M596">_xlfn.IFS(L596&lt;=14,"Short",L596&lt;=30,"Medium",L596&lt;=45,"Long",L596&lt;=60,"Very Long")</f>
        <v>Short</v>
      </c>
      <c r="N596" s="2" t="s">
        <v>85</v>
      </c>
      <c r="O596" s="3">
        <v>7.1</v>
      </c>
    </row>
    <row r="597" spans="1:15" x14ac:dyDescent="0.25">
      <c r="A597" s="4" t="s">
        <v>656</v>
      </c>
      <c r="B597" s="5">
        <v>72</v>
      </c>
      <c r="C597" t="str" cm="1">
        <f t="array" ref="C597">_xlfn.IFS(B597&lt;=30,"Young",B597&lt;=50,"Middle-aged",B597&gt;50,"Older")</f>
        <v>Older</v>
      </c>
      <c r="D597" s="5" t="s">
        <v>10</v>
      </c>
      <c r="E597" s="5" t="s">
        <v>11</v>
      </c>
      <c r="F597" s="5">
        <f t="shared" si="39"/>
        <v>0</v>
      </c>
      <c r="G597" s="5">
        <f t="shared" si="36"/>
        <v>0</v>
      </c>
      <c r="H597" s="5">
        <f t="shared" si="37"/>
        <v>0</v>
      </c>
      <c r="I597" s="5">
        <f t="shared" si="38"/>
        <v>0</v>
      </c>
      <c r="J597" s="5">
        <v>100</v>
      </c>
      <c r="K597" s="5" t="s">
        <v>51</v>
      </c>
      <c r="L597" s="5">
        <v>16</v>
      </c>
      <c r="M597" t="str" cm="1">
        <f t="array" ref="M597">_xlfn.IFS(L597&lt;=14,"Short",L597&lt;=30,"Medium",L597&lt;=45,"Long",L597&lt;=60,"Very Long")</f>
        <v>Medium</v>
      </c>
      <c r="N597" s="5" t="s">
        <v>41</v>
      </c>
      <c r="O597" s="6">
        <v>8.1</v>
      </c>
    </row>
    <row r="598" spans="1:15" x14ac:dyDescent="0.25">
      <c r="A598" s="1" t="s">
        <v>657</v>
      </c>
      <c r="B598" s="2">
        <v>43</v>
      </c>
      <c r="C598" t="str" cm="1">
        <f t="array" ref="C598">_xlfn.IFS(B598&lt;=30,"Young",B598&lt;=50,"Middle-aged",B598&gt;50,"Older")</f>
        <v>Middle-aged</v>
      </c>
      <c r="D598" s="2" t="s">
        <v>10</v>
      </c>
      <c r="E598" s="2" t="s">
        <v>20</v>
      </c>
      <c r="F598" s="2">
        <f t="shared" si="39"/>
        <v>0</v>
      </c>
      <c r="G598" s="2">
        <f t="shared" si="36"/>
        <v>1</v>
      </c>
      <c r="H598" s="2">
        <f t="shared" si="37"/>
        <v>0</v>
      </c>
      <c r="I598" s="2">
        <f t="shared" si="38"/>
        <v>0</v>
      </c>
      <c r="J598" s="2">
        <v>100</v>
      </c>
      <c r="K598" s="2" t="s">
        <v>55</v>
      </c>
      <c r="L598" s="2">
        <v>32</v>
      </c>
      <c r="M598" t="str" cm="1">
        <f t="array" ref="M598">_xlfn.IFS(L598&lt;=14,"Short",L598&lt;=30,"Medium",L598&lt;=45,"Long",L598&lt;=60,"Very Long")</f>
        <v>Long</v>
      </c>
      <c r="N598" s="2" t="s">
        <v>78</v>
      </c>
      <c r="O598" s="3">
        <v>7.7</v>
      </c>
    </row>
    <row r="599" spans="1:15" x14ac:dyDescent="0.25">
      <c r="A599" s="4" t="s">
        <v>658</v>
      </c>
      <c r="B599" s="5">
        <v>54</v>
      </c>
      <c r="C599" t="str" cm="1">
        <f t="array" ref="C599">_xlfn.IFS(B599&lt;=30,"Young",B599&lt;=50,"Middle-aged",B599&gt;50,"Older")</f>
        <v>Older</v>
      </c>
      <c r="D599" s="5" t="s">
        <v>10</v>
      </c>
      <c r="E599" s="5" t="s">
        <v>33</v>
      </c>
      <c r="F599" s="5">
        <f t="shared" si="39"/>
        <v>0</v>
      </c>
      <c r="G599" s="5">
        <f t="shared" si="36"/>
        <v>0</v>
      </c>
      <c r="H599" s="5">
        <f t="shared" si="37"/>
        <v>0</v>
      </c>
      <c r="I599" s="5">
        <f t="shared" si="38"/>
        <v>1</v>
      </c>
      <c r="J599" s="5">
        <v>250</v>
      </c>
      <c r="K599" s="5" t="s">
        <v>49</v>
      </c>
      <c r="L599" s="5">
        <v>34</v>
      </c>
      <c r="M599" t="str" cm="1">
        <f t="array" ref="M599">_xlfn.IFS(L599&lt;=14,"Short",L599&lt;=30,"Medium",L599&lt;=45,"Long",L599&lt;=60,"Very Long")</f>
        <v>Long</v>
      </c>
      <c r="N599" s="5" t="s">
        <v>13</v>
      </c>
      <c r="O599" s="6">
        <v>5.0999999999999996</v>
      </c>
    </row>
    <row r="600" spans="1:15" x14ac:dyDescent="0.25">
      <c r="A600" s="1" t="s">
        <v>659</v>
      </c>
      <c r="B600" s="2">
        <v>43</v>
      </c>
      <c r="C600" t="str" cm="1">
        <f t="array" ref="C600">_xlfn.IFS(B600&lt;=30,"Young",B600&lt;=50,"Middle-aged",B600&gt;50,"Older")</f>
        <v>Middle-aged</v>
      </c>
      <c r="D600" s="2" t="s">
        <v>10</v>
      </c>
      <c r="E600" s="2" t="s">
        <v>11</v>
      </c>
      <c r="F600" s="2">
        <f t="shared" si="39"/>
        <v>0</v>
      </c>
      <c r="G600" s="2">
        <f t="shared" si="36"/>
        <v>0</v>
      </c>
      <c r="H600" s="2">
        <f t="shared" si="37"/>
        <v>0</v>
      </c>
      <c r="I600" s="2">
        <f t="shared" si="38"/>
        <v>0</v>
      </c>
      <c r="J600" s="2">
        <v>250</v>
      </c>
      <c r="K600" s="2" t="s">
        <v>51</v>
      </c>
      <c r="L600" s="2">
        <v>30</v>
      </c>
      <c r="M600" t="str" cm="1">
        <f t="array" ref="M600">_xlfn.IFS(L600&lt;=14,"Short",L600&lt;=30,"Medium",L600&lt;=45,"Long",L600&lt;=60,"Very Long")</f>
        <v>Medium</v>
      </c>
      <c r="N600" s="2" t="s">
        <v>13</v>
      </c>
      <c r="O600" s="3">
        <v>8.3000000000000007</v>
      </c>
    </row>
    <row r="601" spans="1:15" x14ac:dyDescent="0.25">
      <c r="A601" s="4" t="s">
        <v>660</v>
      </c>
      <c r="B601" s="5">
        <v>70</v>
      </c>
      <c r="C601" t="str" cm="1">
        <f t="array" ref="C601">_xlfn.IFS(B601&lt;=30,"Young",B601&lt;=50,"Middle-aged",B601&gt;50,"Older")</f>
        <v>Older</v>
      </c>
      <c r="D601" s="5" t="s">
        <v>10</v>
      </c>
      <c r="E601" s="5" t="s">
        <v>15</v>
      </c>
      <c r="F601" s="5">
        <f t="shared" si="39"/>
        <v>1</v>
      </c>
      <c r="G601" s="5">
        <f t="shared" si="36"/>
        <v>0</v>
      </c>
      <c r="H601" s="5">
        <f t="shared" si="37"/>
        <v>0</v>
      </c>
      <c r="I601" s="5">
        <f t="shared" si="38"/>
        <v>0</v>
      </c>
      <c r="J601" s="5">
        <v>50</v>
      </c>
      <c r="K601" s="5" t="s">
        <v>63</v>
      </c>
      <c r="L601" s="5">
        <v>52</v>
      </c>
      <c r="M601" t="str" cm="1">
        <f t="array" ref="M601">_xlfn.IFS(L601&lt;=14,"Short",L601&lt;=30,"Medium",L601&lt;=45,"Long",L601&lt;=60,"Very Long")</f>
        <v>Very Long</v>
      </c>
      <c r="N601" s="5" t="s">
        <v>64</v>
      </c>
      <c r="O601" s="6">
        <v>8.3000000000000007</v>
      </c>
    </row>
    <row r="602" spans="1:15" x14ac:dyDescent="0.25">
      <c r="A602" s="1" t="s">
        <v>661</v>
      </c>
      <c r="B602" s="2">
        <v>79</v>
      </c>
      <c r="C602" t="str" cm="1">
        <f t="array" ref="C602">_xlfn.IFS(B602&lt;=30,"Young",B602&lt;=50,"Middle-aged",B602&gt;50,"Older")</f>
        <v>Older</v>
      </c>
      <c r="D602" s="2" t="s">
        <v>19</v>
      </c>
      <c r="E602" s="2" t="s">
        <v>15</v>
      </c>
      <c r="F602" s="2">
        <f t="shared" si="39"/>
        <v>1</v>
      </c>
      <c r="G602" s="2">
        <f t="shared" si="36"/>
        <v>0</v>
      </c>
      <c r="H602" s="2">
        <f t="shared" si="37"/>
        <v>0</v>
      </c>
      <c r="I602" s="2">
        <f t="shared" si="38"/>
        <v>0</v>
      </c>
      <c r="J602" s="2">
        <v>50</v>
      </c>
      <c r="K602" s="2" t="s">
        <v>44</v>
      </c>
      <c r="L602" s="2">
        <v>25</v>
      </c>
      <c r="M602" t="str" cm="1">
        <f t="array" ref="M602">_xlfn.IFS(L602&lt;=14,"Short",L602&lt;=30,"Medium",L602&lt;=45,"Long",L602&lt;=60,"Very Long")</f>
        <v>Medium</v>
      </c>
      <c r="N602" s="2" t="s">
        <v>95</v>
      </c>
      <c r="O602" s="3">
        <v>5.9</v>
      </c>
    </row>
    <row r="603" spans="1:15" x14ac:dyDescent="0.25">
      <c r="A603" s="4" t="s">
        <v>662</v>
      </c>
      <c r="B603" s="5">
        <v>40</v>
      </c>
      <c r="C603" t="str" cm="1">
        <f t="array" ref="C603">_xlfn.IFS(B603&lt;=30,"Young",B603&lt;=50,"Middle-aged",B603&gt;50,"Older")</f>
        <v>Middle-aged</v>
      </c>
      <c r="D603" s="5" t="s">
        <v>19</v>
      </c>
      <c r="E603" s="5" t="s">
        <v>15</v>
      </c>
      <c r="F603" s="5">
        <f t="shared" si="39"/>
        <v>1</v>
      </c>
      <c r="G603" s="5">
        <f t="shared" si="36"/>
        <v>0</v>
      </c>
      <c r="H603" s="5">
        <f t="shared" si="37"/>
        <v>0</v>
      </c>
      <c r="I603" s="5">
        <f t="shared" si="38"/>
        <v>0</v>
      </c>
      <c r="J603" s="5">
        <v>50</v>
      </c>
      <c r="K603" s="5" t="s">
        <v>16</v>
      </c>
      <c r="L603" s="5">
        <v>32</v>
      </c>
      <c r="M603" t="str" cm="1">
        <f t="array" ref="M603">_xlfn.IFS(L603&lt;=14,"Short",L603&lt;=30,"Medium",L603&lt;=45,"Long",L603&lt;=60,"Very Long")</f>
        <v>Long</v>
      </c>
      <c r="N603" s="5" t="s">
        <v>308</v>
      </c>
      <c r="O603" s="6">
        <v>7.1</v>
      </c>
    </row>
    <row r="604" spans="1:15" x14ac:dyDescent="0.25">
      <c r="A604" s="1" t="s">
        <v>663</v>
      </c>
      <c r="B604" s="2">
        <v>26</v>
      </c>
      <c r="C604" t="str" cm="1">
        <f t="array" ref="C604">_xlfn.IFS(B604&lt;=30,"Young",B604&lt;=50,"Middle-aged",B604&gt;50,"Older")</f>
        <v>Young</v>
      </c>
      <c r="D604" s="2" t="s">
        <v>10</v>
      </c>
      <c r="E604" s="2" t="s">
        <v>15</v>
      </c>
      <c r="F604" s="2">
        <f t="shared" si="39"/>
        <v>1</v>
      </c>
      <c r="G604" s="2">
        <f t="shared" si="36"/>
        <v>0</v>
      </c>
      <c r="H604" s="2">
        <f t="shared" si="37"/>
        <v>0</v>
      </c>
      <c r="I604" s="2">
        <f t="shared" si="38"/>
        <v>0</v>
      </c>
      <c r="J604" s="2">
        <v>100</v>
      </c>
      <c r="K604" s="2" t="s">
        <v>63</v>
      </c>
      <c r="L604" s="2">
        <v>30</v>
      </c>
      <c r="M604" t="str" cm="1">
        <f t="array" ref="M604">_xlfn.IFS(L604&lt;=14,"Short",L604&lt;=30,"Medium",L604&lt;=45,"Long",L604&lt;=60,"Very Long")</f>
        <v>Medium</v>
      </c>
      <c r="N604" s="2" t="s">
        <v>110</v>
      </c>
      <c r="O604" s="3">
        <v>8</v>
      </c>
    </row>
    <row r="605" spans="1:15" x14ac:dyDescent="0.25">
      <c r="A605" s="4" t="s">
        <v>664</v>
      </c>
      <c r="B605" s="5">
        <v>29</v>
      </c>
      <c r="C605" t="str" cm="1">
        <f t="array" ref="C605">_xlfn.IFS(B605&lt;=30,"Young",B605&lt;=50,"Middle-aged",B605&gt;50,"Older")</f>
        <v>Young</v>
      </c>
      <c r="D605" s="5" t="s">
        <v>10</v>
      </c>
      <c r="E605" s="5" t="s">
        <v>20</v>
      </c>
      <c r="F605" s="5">
        <f t="shared" si="39"/>
        <v>0</v>
      </c>
      <c r="G605" s="5">
        <f t="shared" si="36"/>
        <v>1</v>
      </c>
      <c r="H605" s="5">
        <f t="shared" si="37"/>
        <v>0</v>
      </c>
      <c r="I605" s="5">
        <f t="shared" si="38"/>
        <v>0</v>
      </c>
      <c r="J605" s="5">
        <v>500</v>
      </c>
      <c r="K605" s="5" t="s">
        <v>37</v>
      </c>
      <c r="L605" s="5">
        <v>37</v>
      </c>
      <c r="M605" t="str" cm="1">
        <f t="array" ref="M605">_xlfn.IFS(L605&lt;=14,"Short",L605&lt;=30,"Medium",L605&lt;=45,"Long",L605&lt;=60,"Very Long")</f>
        <v>Long</v>
      </c>
      <c r="N605" s="5" t="s">
        <v>173</v>
      </c>
      <c r="O605" s="6">
        <v>6.7</v>
      </c>
    </row>
    <row r="606" spans="1:15" x14ac:dyDescent="0.25">
      <c r="A606" s="1" t="s">
        <v>665</v>
      </c>
      <c r="B606" s="2">
        <v>70</v>
      </c>
      <c r="C606" t="str" cm="1">
        <f t="array" ref="C606">_xlfn.IFS(B606&lt;=30,"Young",B606&lt;=50,"Middle-aged",B606&gt;50,"Older")</f>
        <v>Older</v>
      </c>
      <c r="D606" s="2" t="s">
        <v>19</v>
      </c>
      <c r="E606" s="2" t="s">
        <v>33</v>
      </c>
      <c r="F606" s="2">
        <f t="shared" si="39"/>
        <v>0</v>
      </c>
      <c r="G606" s="2">
        <f t="shared" si="36"/>
        <v>0</v>
      </c>
      <c r="H606" s="2">
        <f t="shared" si="37"/>
        <v>0</v>
      </c>
      <c r="I606" s="2">
        <f t="shared" si="38"/>
        <v>1</v>
      </c>
      <c r="J606" s="2">
        <v>850</v>
      </c>
      <c r="K606" s="2" t="s">
        <v>34</v>
      </c>
      <c r="L606" s="2">
        <v>25</v>
      </c>
      <c r="M606" t="str" cm="1">
        <f t="array" ref="M606">_xlfn.IFS(L606&lt;=14,"Short",L606&lt;=30,"Medium",L606&lt;=45,"Long",L606&lt;=60,"Very Long")</f>
        <v>Medium</v>
      </c>
      <c r="N606" s="2" t="s">
        <v>95</v>
      </c>
      <c r="O606" s="3">
        <v>8.6</v>
      </c>
    </row>
    <row r="607" spans="1:15" x14ac:dyDescent="0.25">
      <c r="A607" s="4" t="s">
        <v>666</v>
      </c>
      <c r="B607" s="5">
        <v>18</v>
      </c>
      <c r="C607" t="str" cm="1">
        <f t="array" ref="C607">_xlfn.IFS(B607&lt;=30,"Young",B607&lt;=50,"Middle-aged",B607&gt;50,"Older")</f>
        <v>Young</v>
      </c>
      <c r="D607" s="5" t="s">
        <v>10</v>
      </c>
      <c r="E607" s="5" t="s">
        <v>24</v>
      </c>
      <c r="F607" s="5">
        <f t="shared" si="39"/>
        <v>0</v>
      </c>
      <c r="G607" s="5">
        <f t="shared" si="36"/>
        <v>0</v>
      </c>
      <c r="H607" s="5">
        <f t="shared" si="37"/>
        <v>1</v>
      </c>
      <c r="I607" s="5">
        <f t="shared" si="38"/>
        <v>0</v>
      </c>
      <c r="J607" s="5">
        <v>500</v>
      </c>
      <c r="K607" s="5" t="s">
        <v>59</v>
      </c>
      <c r="L607" s="5">
        <v>39</v>
      </c>
      <c r="M607" t="str" cm="1">
        <f t="array" ref="M607">_xlfn.IFS(L607&lt;=14,"Short",L607&lt;=30,"Medium",L607&lt;=45,"Long",L607&lt;=60,"Very Long")</f>
        <v>Long</v>
      </c>
      <c r="N607" s="5" t="s">
        <v>150</v>
      </c>
      <c r="O607" s="6">
        <v>10</v>
      </c>
    </row>
    <row r="608" spans="1:15" x14ac:dyDescent="0.25">
      <c r="A608" s="1" t="s">
        <v>667</v>
      </c>
      <c r="B608" s="2">
        <v>75</v>
      </c>
      <c r="C608" t="str" cm="1">
        <f t="array" ref="C608">_xlfn.IFS(B608&lt;=30,"Young",B608&lt;=50,"Middle-aged",B608&gt;50,"Older")</f>
        <v>Older</v>
      </c>
      <c r="D608" s="2" t="s">
        <v>10</v>
      </c>
      <c r="E608" s="2" t="s">
        <v>20</v>
      </c>
      <c r="F608" s="2">
        <f t="shared" si="39"/>
        <v>0</v>
      </c>
      <c r="G608" s="2">
        <f t="shared" si="36"/>
        <v>1</v>
      </c>
      <c r="H608" s="2">
        <f t="shared" si="37"/>
        <v>0</v>
      </c>
      <c r="I608" s="2">
        <f t="shared" si="38"/>
        <v>0</v>
      </c>
      <c r="J608" s="2">
        <v>500</v>
      </c>
      <c r="K608" s="2" t="s">
        <v>21</v>
      </c>
      <c r="L608" s="2">
        <v>56</v>
      </c>
      <c r="M608" t="str" cm="1">
        <f t="array" ref="M608">_xlfn.IFS(L608&lt;=14,"Short",L608&lt;=30,"Medium",L608&lt;=45,"Long",L608&lt;=60,"Very Long")</f>
        <v>Very Long</v>
      </c>
      <c r="N608" s="2" t="s">
        <v>41</v>
      </c>
      <c r="O608" s="3">
        <v>5.8</v>
      </c>
    </row>
    <row r="609" spans="1:15" x14ac:dyDescent="0.25">
      <c r="A609" s="4" t="s">
        <v>668</v>
      </c>
      <c r="B609" s="5">
        <v>75</v>
      </c>
      <c r="C609" t="str" cm="1">
        <f t="array" ref="C609">_xlfn.IFS(B609&lt;=30,"Young",B609&lt;=50,"Middle-aged",B609&gt;50,"Older")</f>
        <v>Older</v>
      </c>
      <c r="D609" s="5" t="s">
        <v>10</v>
      </c>
      <c r="E609" s="5" t="s">
        <v>20</v>
      </c>
      <c r="F609" s="5">
        <f t="shared" si="39"/>
        <v>0</v>
      </c>
      <c r="G609" s="5">
        <f t="shared" si="36"/>
        <v>1</v>
      </c>
      <c r="H609" s="5">
        <f t="shared" si="37"/>
        <v>0</v>
      </c>
      <c r="I609" s="5">
        <f t="shared" si="38"/>
        <v>0</v>
      </c>
      <c r="J609" s="5">
        <v>500</v>
      </c>
      <c r="K609" s="5" t="s">
        <v>55</v>
      </c>
      <c r="L609" s="5">
        <v>38</v>
      </c>
      <c r="M609" t="str" cm="1">
        <f t="array" ref="M609">_xlfn.IFS(L609&lt;=14,"Short",L609&lt;=30,"Medium",L609&lt;=45,"Long",L609&lt;=60,"Very Long")</f>
        <v>Long</v>
      </c>
      <c r="N609" s="5" t="s">
        <v>22</v>
      </c>
      <c r="O609" s="6">
        <v>4.9000000000000004</v>
      </c>
    </row>
    <row r="610" spans="1:15" x14ac:dyDescent="0.25">
      <c r="A610" s="1" t="s">
        <v>669</v>
      </c>
      <c r="B610" s="2">
        <v>18</v>
      </c>
      <c r="C610" t="str" cm="1">
        <f t="array" ref="C610">_xlfn.IFS(B610&lt;=30,"Young",B610&lt;=50,"Middle-aged",B610&gt;50,"Older")</f>
        <v>Young</v>
      </c>
      <c r="D610" s="2" t="s">
        <v>19</v>
      </c>
      <c r="E610" s="2" t="s">
        <v>24</v>
      </c>
      <c r="F610" s="2">
        <f t="shared" si="39"/>
        <v>0</v>
      </c>
      <c r="G610" s="2">
        <f t="shared" si="36"/>
        <v>0</v>
      </c>
      <c r="H610" s="2">
        <f t="shared" si="37"/>
        <v>1</v>
      </c>
      <c r="I610" s="2">
        <f t="shared" si="38"/>
        <v>0</v>
      </c>
      <c r="J610" s="2">
        <v>50</v>
      </c>
      <c r="K610" s="2" t="s">
        <v>59</v>
      </c>
      <c r="L610" s="2">
        <v>45</v>
      </c>
      <c r="M610" t="str" cm="1">
        <f t="array" ref="M610">_xlfn.IFS(L610&lt;=14,"Short",L610&lt;=30,"Medium",L610&lt;=45,"Long",L610&lt;=60,"Very Long")</f>
        <v>Long</v>
      </c>
      <c r="N610" s="2" t="s">
        <v>150</v>
      </c>
      <c r="O610" s="3">
        <v>7.5</v>
      </c>
    </row>
    <row r="611" spans="1:15" x14ac:dyDescent="0.25">
      <c r="A611" s="4" t="s">
        <v>670</v>
      </c>
      <c r="B611" s="5">
        <v>64</v>
      </c>
      <c r="C611" t="str" cm="1">
        <f t="array" ref="C611">_xlfn.IFS(B611&lt;=30,"Young",B611&lt;=50,"Middle-aged",B611&gt;50,"Older")</f>
        <v>Older</v>
      </c>
      <c r="D611" s="5" t="s">
        <v>10</v>
      </c>
      <c r="E611" s="5" t="s">
        <v>24</v>
      </c>
      <c r="F611" s="5">
        <f t="shared" si="39"/>
        <v>0</v>
      </c>
      <c r="G611" s="5">
        <f t="shared" si="36"/>
        <v>0</v>
      </c>
      <c r="H611" s="5">
        <f t="shared" si="37"/>
        <v>1</v>
      </c>
      <c r="I611" s="5">
        <f t="shared" si="38"/>
        <v>0</v>
      </c>
      <c r="J611" s="5">
        <v>50</v>
      </c>
      <c r="K611" s="5" t="s">
        <v>39</v>
      </c>
      <c r="L611" s="5">
        <v>55</v>
      </c>
      <c r="M611" t="str" cm="1">
        <f t="array" ref="M611">_xlfn.IFS(L611&lt;=14,"Short",L611&lt;=30,"Medium",L611&lt;=45,"Long",L611&lt;=60,"Very Long")</f>
        <v>Very Long</v>
      </c>
      <c r="N611" s="5" t="s">
        <v>136</v>
      </c>
      <c r="O611" s="6">
        <v>8.1</v>
      </c>
    </row>
    <row r="612" spans="1:15" x14ac:dyDescent="0.25">
      <c r="A612" s="1" t="s">
        <v>671</v>
      </c>
      <c r="B612" s="2">
        <v>51</v>
      </c>
      <c r="C612" t="str" cm="1">
        <f t="array" ref="C612">_xlfn.IFS(B612&lt;=30,"Young",B612&lt;=50,"Middle-aged",B612&gt;50,"Older")</f>
        <v>Older</v>
      </c>
      <c r="D612" s="2" t="s">
        <v>19</v>
      </c>
      <c r="E612" s="2" t="s">
        <v>15</v>
      </c>
      <c r="F612" s="2">
        <f t="shared" si="39"/>
        <v>1</v>
      </c>
      <c r="G612" s="2">
        <f t="shared" si="36"/>
        <v>0</v>
      </c>
      <c r="H612" s="2">
        <f t="shared" si="37"/>
        <v>0</v>
      </c>
      <c r="I612" s="2">
        <f t="shared" si="38"/>
        <v>0</v>
      </c>
      <c r="J612" s="2">
        <v>500</v>
      </c>
      <c r="K612" s="2" t="s">
        <v>44</v>
      </c>
      <c r="L612" s="2">
        <v>51</v>
      </c>
      <c r="M612" t="str" cm="1">
        <f t="array" ref="M612">_xlfn.IFS(L612&lt;=14,"Short",L612&lt;=30,"Medium",L612&lt;=45,"Long",L612&lt;=60,"Very Long")</f>
        <v>Very Long</v>
      </c>
      <c r="N612" s="2" t="s">
        <v>95</v>
      </c>
      <c r="O612" s="3">
        <v>6.7</v>
      </c>
    </row>
    <row r="613" spans="1:15" x14ac:dyDescent="0.25">
      <c r="A613" s="4" t="s">
        <v>672</v>
      </c>
      <c r="B613" s="5">
        <v>49</v>
      </c>
      <c r="C613" t="str" cm="1">
        <f t="array" ref="C613">_xlfn.IFS(B613&lt;=30,"Young",B613&lt;=50,"Middle-aged",B613&gt;50,"Older")</f>
        <v>Middle-aged</v>
      </c>
      <c r="D613" s="5" t="s">
        <v>10</v>
      </c>
      <c r="E613" s="5" t="s">
        <v>20</v>
      </c>
      <c r="F613" s="5">
        <f t="shared" si="39"/>
        <v>0</v>
      </c>
      <c r="G613" s="5">
        <f t="shared" si="36"/>
        <v>1</v>
      </c>
      <c r="H613" s="5">
        <f t="shared" si="37"/>
        <v>0</v>
      </c>
      <c r="I613" s="5">
        <f t="shared" si="38"/>
        <v>0</v>
      </c>
      <c r="J613" s="5">
        <v>850</v>
      </c>
      <c r="K613" s="5" t="s">
        <v>55</v>
      </c>
      <c r="L613" s="5">
        <v>22</v>
      </c>
      <c r="M613" t="str" cm="1">
        <f t="array" ref="M613">_xlfn.IFS(L613&lt;=14,"Short",L613&lt;=30,"Medium",L613&lt;=45,"Long",L613&lt;=60,"Very Long")</f>
        <v>Medium</v>
      </c>
      <c r="N613" s="5" t="s">
        <v>148</v>
      </c>
      <c r="O613" s="6">
        <v>9.1999999999999993</v>
      </c>
    </row>
    <row r="614" spans="1:15" x14ac:dyDescent="0.25">
      <c r="A614" s="1" t="s">
        <v>673</v>
      </c>
      <c r="B614" s="2">
        <v>79</v>
      </c>
      <c r="C614" t="str" cm="1">
        <f t="array" ref="C614">_xlfn.IFS(B614&lt;=30,"Young",B614&lt;=50,"Middle-aged",B614&gt;50,"Older")</f>
        <v>Older</v>
      </c>
      <c r="D614" s="2" t="s">
        <v>19</v>
      </c>
      <c r="E614" s="2" t="s">
        <v>11</v>
      </c>
      <c r="F614" s="2">
        <f t="shared" si="39"/>
        <v>0</v>
      </c>
      <c r="G614" s="2">
        <f t="shared" si="36"/>
        <v>0</v>
      </c>
      <c r="H614" s="2">
        <f t="shared" si="37"/>
        <v>0</v>
      </c>
      <c r="I614" s="2">
        <f t="shared" si="38"/>
        <v>0</v>
      </c>
      <c r="J614" s="2">
        <v>500</v>
      </c>
      <c r="K614" s="2" t="s">
        <v>84</v>
      </c>
      <c r="L614" s="2">
        <v>15</v>
      </c>
      <c r="M614" t="str" cm="1">
        <f t="array" ref="M614">_xlfn.IFS(L614&lt;=14,"Short",L614&lt;=30,"Medium",L614&lt;=45,"Long",L614&lt;=60,"Very Long")</f>
        <v>Medium</v>
      </c>
      <c r="N614" s="2" t="s">
        <v>97</v>
      </c>
      <c r="O614" s="3">
        <v>5</v>
      </c>
    </row>
    <row r="615" spans="1:15" x14ac:dyDescent="0.25">
      <c r="A615" s="4" t="s">
        <v>674</v>
      </c>
      <c r="B615" s="5">
        <v>71</v>
      </c>
      <c r="C615" t="str" cm="1">
        <f t="array" ref="C615">_xlfn.IFS(B615&lt;=30,"Young",B615&lt;=50,"Middle-aged",B615&gt;50,"Older")</f>
        <v>Older</v>
      </c>
      <c r="D615" s="5" t="s">
        <v>19</v>
      </c>
      <c r="E615" s="5" t="s">
        <v>24</v>
      </c>
      <c r="F615" s="5">
        <f t="shared" si="39"/>
        <v>0</v>
      </c>
      <c r="G615" s="5">
        <f t="shared" si="36"/>
        <v>0</v>
      </c>
      <c r="H615" s="5">
        <f t="shared" si="37"/>
        <v>1</v>
      </c>
      <c r="I615" s="5">
        <f t="shared" si="38"/>
        <v>0</v>
      </c>
      <c r="J615" s="5">
        <v>50</v>
      </c>
      <c r="K615" s="5" t="s">
        <v>39</v>
      </c>
      <c r="L615" s="5">
        <v>27</v>
      </c>
      <c r="M615" t="str" cm="1">
        <f t="array" ref="M615">_xlfn.IFS(L615&lt;=14,"Short",L615&lt;=30,"Medium",L615&lt;=45,"Long",L615&lt;=60,"Very Long")</f>
        <v>Medium</v>
      </c>
      <c r="N615" s="5" t="s">
        <v>13</v>
      </c>
      <c r="O615" s="6">
        <v>8</v>
      </c>
    </row>
    <row r="616" spans="1:15" x14ac:dyDescent="0.25">
      <c r="A616" s="1" t="s">
        <v>675</v>
      </c>
      <c r="B616" s="2">
        <v>65</v>
      </c>
      <c r="C616" t="str" cm="1">
        <f t="array" ref="C616">_xlfn.IFS(B616&lt;=30,"Young",B616&lt;=50,"Middle-aged",B616&gt;50,"Older")</f>
        <v>Older</v>
      </c>
      <c r="D616" s="2" t="s">
        <v>10</v>
      </c>
      <c r="E616" s="2" t="s">
        <v>24</v>
      </c>
      <c r="F616" s="2">
        <f t="shared" si="39"/>
        <v>0</v>
      </c>
      <c r="G616" s="2">
        <f t="shared" si="36"/>
        <v>0</v>
      </c>
      <c r="H616" s="2">
        <f t="shared" si="37"/>
        <v>1</v>
      </c>
      <c r="I616" s="2">
        <f t="shared" si="38"/>
        <v>0</v>
      </c>
      <c r="J616" s="2">
        <v>100</v>
      </c>
      <c r="K616" s="2" t="s">
        <v>39</v>
      </c>
      <c r="L616" s="2">
        <v>52</v>
      </c>
      <c r="M616" t="str" cm="1">
        <f t="array" ref="M616">_xlfn.IFS(L616&lt;=14,"Short",L616&lt;=30,"Medium",L616&lt;=45,"Long",L616&lt;=60,"Very Long")</f>
        <v>Very Long</v>
      </c>
      <c r="N616" s="2" t="s">
        <v>13</v>
      </c>
      <c r="O616" s="3">
        <v>6.1</v>
      </c>
    </row>
    <row r="617" spans="1:15" x14ac:dyDescent="0.25">
      <c r="A617" s="4" t="s">
        <v>676</v>
      </c>
      <c r="B617" s="5">
        <v>42</v>
      </c>
      <c r="C617" t="str" cm="1">
        <f t="array" ref="C617">_xlfn.IFS(B617&lt;=30,"Young",B617&lt;=50,"Middle-aged",B617&gt;50,"Older")</f>
        <v>Middle-aged</v>
      </c>
      <c r="D617" s="5" t="s">
        <v>19</v>
      </c>
      <c r="E617" s="5" t="s">
        <v>33</v>
      </c>
      <c r="F617" s="5">
        <f t="shared" si="39"/>
        <v>0</v>
      </c>
      <c r="G617" s="5">
        <f t="shared" si="36"/>
        <v>0</v>
      </c>
      <c r="H617" s="5">
        <f t="shared" si="37"/>
        <v>0</v>
      </c>
      <c r="I617" s="5">
        <f t="shared" si="38"/>
        <v>1</v>
      </c>
      <c r="J617" s="5">
        <v>50</v>
      </c>
      <c r="K617" s="5" t="s">
        <v>34</v>
      </c>
      <c r="L617" s="5">
        <v>26</v>
      </c>
      <c r="M617" t="str" cm="1">
        <f t="array" ref="M617">_xlfn.IFS(L617&lt;=14,"Short",L617&lt;=30,"Medium",L617&lt;=45,"Long",L617&lt;=60,"Very Long")</f>
        <v>Medium</v>
      </c>
      <c r="N617" s="5" t="s">
        <v>97</v>
      </c>
      <c r="O617" s="6">
        <v>9.6</v>
      </c>
    </row>
    <row r="618" spans="1:15" x14ac:dyDescent="0.25">
      <c r="A618" s="1" t="s">
        <v>677</v>
      </c>
      <c r="B618" s="2">
        <v>57</v>
      </c>
      <c r="C618" t="str" cm="1">
        <f t="array" ref="C618">_xlfn.IFS(B618&lt;=30,"Young",B618&lt;=50,"Middle-aged",B618&gt;50,"Older")</f>
        <v>Older</v>
      </c>
      <c r="D618" s="2" t="s">
        <v>10</v>
      </c>
      <c r="E618" s="2" t="s">
        <v>11</v>
      </c>
      <c r="F618" s="2">
        <f t="shared" si="39"/>
        <v>0</v>
      </c>
      <c r="G618" s="2">
        <f t="shared" si="36"/>
        <v>0</v>
      </c>
      <c r="H618" s="2">
        <f t="shared" si="37"/>
        <v>0</v>
      </c>
      <c r="I618" s="2">
        <f t="shared" si="38"/>
        <v>0</v>
      </c>
      <c r="J618" s="2">
        <v>850</v>
      </c>
      <c r="K618" s="2" t="s">
        <v>51</v>
      </c>
      <c r="L618" s="2">
        <v>21</v>
      </c>
      <c r="M618" t="str" cm="1">
        <f t="array" ref="M618">_xlfn.IFS(L618&lt;=14,"Short",L618&lt;=30,"Medium",L618&lt;=45,"Long",L618&lt;=60,"Very Long")</f>
        <v>Medium</v>
      </c>
      <c r="N618" s="2" t="s">
        <v>13</v>
      </c>
      <c r="O618" s="3">
        <v>10</v>
      </c>
    </row>
    <row r="619" spans="1:15" x14ac:dyDescent="0.25">
      <c r="A619" s="4" t="s">
        <v>678</v>
      </c>
      <c r="B619" s="5">
        <v>62</v>
      </c>
      <c r="C619" t="str" cm="1">
        <f t="array" ref="C619">_xlfn.IFS(B619&lt;=30,"Young",B619&lt;=50,"Middle-aged",B619&gt;50,"Older")</f>
        <v>Older</v>
      </c>
      <c r="D619" s="5" t="s">
        <v>19</v>
      </c>
      <c r="E619" s="5" t="s">
        <v>11</v>
      </c>
      <c r="F619" s="5">
        <f t="shared" si="39"/>
        <v>0</v>
      </c>
      <c r="G619" s="5">
        <f t="shared" si="36"/>
        <v>0</v>
      </c>
      <c r="H619" s="5">
        <f t="shared" si="37"/>
        <v>0</v>
      </c>
      <c r="I619" s="5">
        <f t="shared" si="38"/>
        <v>0</v>
      </c>
      <c r="J619" s="5">
        <v>500</v>
      </c>
      <c r="K619" s="5" t="s">
        <v>84</v>
      </c>
      <c r="L619" s="5">
        <v>9</v>
      </c>
      <c r="M619" t="str" cm="1">
        <f t="array" ref="M619">_xlfn.IFS(L619&lt;=14,"Short",L619&lt;=30,"Medium",L619&lt;=45,"Long",L619&lt;=60,"Very Long")</f>
        <v>Short</v>
      </c>
      <c r="N619" s="5" t="s">
        <v>93</v>
      </c>
      <c r="O619" s="6">
        <v>5.9</v>
      </c>
    </row>
    <row r="620" spans="1:15" x14ac:dyDescent="0.25">
      <c r="A620" s="1" t="s">
        <v>679</v>
      </c>
      <c r="B620" s="2">
        <v>70</v>
      </c>
      <c r="C620" t="str" cm="1">
        <f t="array" ref="C620">_xlfn.IFS(B620&lt;=30,"Young",B620&lt;=50,"Middle-aged",B620&gt;50,"Older")</f>
        <v>Older</v>
      </c>
      <c r="D620" s="2" t="s">
        <v>10</v>
      </c>
      <c r="E620" s="2" t="s">
        <v>24</v>
      </c>
      <c r="F620" s="2">
        <f t="shared" si="39"/>
        <v>0</v>
      </c>
      <c r="G620" s="2">
        <f t="shared" si="36"/>
        <v>0</v>
      </c>
      <c r="H620" s="2">
        <f t="shared" si="37"/>
        <v>1</v>
      </c>
      <c r="I620" s="2">
        <f t="shared" si="38"/>
        <v>0</v>
      </c>
      <c r="J620" s="2">
        <v>250</v>
      </c>
      <c r="K620" s="2" t="s">
        <v>25</v>
      </c>
      <c r="L620" s="2">
        <v>48</v>
      </c>
      <c r="M620" t="str" cm="1">
        <f t="array" ref="M620">_xlfn.IFS(L620&lt;=14,"Short",L620&lt;=30,"Medium",L620&lt;=45,"Long",L620&lt;=60,"Very Long")</f>
        <v>Very Long</v>
      </c>
      <c r="N620" s="2" t="s">
        <v>13</v>
      </c>
      <c r="O620" s="3">
        <v>6.2</v>
      </c>
    </row>
    <row r="621" spans="1:15" x14ac:dyDescent="0.25">
      <c r="A621" s="4" t="s">
        <v>680</v>
      </c>
      <c r="B621" s="5">
        <v>18</v>
      </c>
      <c r="C621" t="str" cm="1">
        <f t="array" ref="C621">_xlfn.IFS(B621&lt;=30,"Young",B621&lt;=50,"Middle-aged",B621&gt;50,"Older")</f>
        <v>Young</v>
      </c>
      <c r="D621" s="5" t="s">
        <v>10</v>
      </c>
      <c r="E621" s="5" t="s">
        <v>15</v>
      </c>
      <c r="F621" s="5">
        <f t="shared" si="39"/>
        <v>1</v>
      </c>
      <c r="G621" s="5">
        <f t="shared" si="36"/>
        <v>0</v>
      </c>
      <c r="H621" s="5">
        <f t="shared" si="37"/>
        <v>0</v>
      </c>
      <c r="I621" s="5">
        <f t="shared" si="38"/>
        <v>0</v>
      </c>
      <c r="J621" s="5">
        <v>500</v>
      </c>
      <c r="K621" s="5" t="s">
        <v>63</v>
      </c>
      <c r="L621" s="5">
        <v>15</v>
      </c>
      <c r="M621" t="str" cm="1">
        <f t="array" ref="M621">_xlfn.IFS(L621&lt;=14,"Short",L621&lt;=30,"Medium",L621&lt;=45,"Long",L621&lt;=60,"Very Long")</f>
        <v>Medium</v>
      </c>
      <c r="N621" s="5" t="s">
        <v>110</v>
      </c>
      <c r="O621" s="6">
        <v>8.3000000000000007</v>
      </c>
    </row>
    <row r="622" spans="1:15" x14ac:dyDescent="0.25">
      <c r="A622" s="1" t="s">
        <v>681</v>
      </c>
      <c r="B622" s="2">
        <v>33</v>
      </c>
      <c r="C622" t="str" cm="1">
        <f t="array" ref="C622">_xlfn.IFS(B622&lt;=30,"Young",B622&lt;=50,"Middle-aged",B622&gt;50,"Older")</f>
        <v>Middle-aged</v>
      </c>
      <c r="D622" s="2" t="s">
        <v>19</v>
      </c>
      <c r="E622" s="2" t="s">
        <v>33</v>
      </c>
      <c r="F622" s="2">
        <f t="shared" si="39"/>
        <v>0</v>
      </c>
      <c r="G622" s="2">
        <f t="shared" si="36"/>
        <v>0</v>
      </c>
      <c r="H622" s="2">
        <f t="shared" si="37"/>
        <v>0</v>
      </c>
      <c r="I622" s="2">
        <f t="shared" si="38"/>
        <v>1</v>
      </c>
      <c r="J622" s="2">
        <v>50</v>
      </c>
      <c r="K622" s="2" t="s">
        <v>49</v>
      </c>
      <c r="L622" s="2">
        <v>34</v>
      </c>
      <c r="M622" t="str" cm="1">
        <f t="array" ref="M622">_xlfn.IFS(L622&lt;=14,"Short",L622&lt;=30,"Medium",L622&lt;=45,"Long",L622&lt;=60,"Very Long")</f>
        <v>Long</v>
      </c>
      <c r="N622" s="2" t="s">
        <v>30</v>
      </c>
      <c r="O622" s="3">
        <v>6.4</v>
      </c>
    </row>
    <row r="623" spans="1:15" x14ac:dyDescent="0.25">
      <c r="A623" s="4" t="s">
        <v>682</v>
      </c>
      <c r="B623" s="5">
        <v>78</v>
      </c>
      <c r="C623" t="str" cm="1">
        <f t="array" ref="C623">_xlfn.IFS(B623&lt;=30,"Young",B623&lt;=50,"Middle-aged",B623&gt;50,"Older")</f>
        <v>Older</v>
      </c>
      <c r="D623" s="5" t="s">
        <v>10</v>
      </c>
      <c r="E623" s="5" t="s">
        <v>11</v>
      </c>
      <c r="F623" s="5">
        <f t="shared" si="39"/>
        <v>0</v>
      </c>
      <c r="G623" s="5">
        <f t="shared" si="36"/>
        <v>0</v>
      </c>
      <c r="H623" s="5">
        <f t="shared" si="37"/>
        <v>0</v>
      </c>
      <c r="I623" s="5">
        <f t="shared" si="38"/>
        <v>0</v>
      </c>
      <c r="J623" s="5">
        <v>850</v>
      </c>
      <c r="K623" s="5" t="s">
        <v>84</v>
      </c>
      <c r="L623" s="5">
        <v>19</v>
      </c>
      <c r="M623" t="str" cm="1">
        <f t="array" ref="M623">_xlfn.IFS(L623&lt;=14,"Short",L623&lt;=30,"Medium",L623&lt;=45,"Long",L623&lt;=60,"Very Long")</f>
        <v>Medium</v>
      </c>
      <c r="N623" s="5" t="s">
        <v>85</v>
      </c>
      <c r="O623" s="6">
        <v>6.9</v>
      </c>
    </row>
    <row r="624" spans="1:15" x14ac:dyDescent="0.25">
      <c r="A624" s="1" t="s">
        <v>683</v>
      </c>
      <c r="B624" s="2">
        <v>56</v>
      </c>
      <c r="C624" t="str" cm="1">
        <f t="array" ref="C624">_xlfn.IFS(B624&lt;=30,"Young",B624&lt;=50,"Middle-aged",B624&gt;50,"Older")</f>
        <v>Older</v>
      </c>
      <c r="D624" s="2" t="s">
        <v>10</v>
      </c>
      <c r="E624" s="2" t="s">
        <v>24</v>
      </c>
      <c r="F624" s="2">
        <f t="shared" si="39"/>
        <v>0</v>
      </c>
      <c r="G624" s="2">
        <f t="shared" si="36"/>
        <v>0</v>
      </c>
      <c r="H624" s="2">
        <f t="shared" si="37"/>
        <v>1</v>
      </c>
      <c r="I624" s="2">
        <f t="shared" si="38"/>
        <v>0</v>
      </c>
      <c r="J624" s="2">
        <v>850</v>
      </c>
      <c r="K624" s="2" t="s">
        <v>59</v>
      </c>
      <c r="L624" s="2">
        <v>31</v>
      </c>
      <c r="M624" t="str" cm="1">
        <f t="array" ref="M624">_xlfn.IFS(L624&lt;=14,"Short",L624&lt;=30,"Medium",L624&lt;=45,"Long",L624&lt;=60,"Very Long")</f>
        <v>Long</v>
      </c>
      <c r="N624" s="2" t="s">
        <v>150</v>
      </c>
      <c r="O624" s="3">
        <v>7</v>
      </c>
    </row>
    <row r="625" spans="1:15" x14ac:dyDescent="0.25">
      <c r="A625" s="4" t="s">
        <v>684</v>
      </c>
      <c r="B625" s="5">
        <v>22</v>
      </c>
      <c r="C625" t="str" cm="1">
        <f t="array" ref="C625">_xlfn.IFS(B625&lt;=30,"Young",B625&lt;=50,"Middle-aged",B625&gt;50,"Older")</f>
        <v>Young</v>
      </c>
      <c r="D625" s="5" t="s">
        <v>19</v>
      </c>
      <c r="E625" s="5" t="s">
        <v>11</v>
      </c>
      <c r="F625" s="5">
        <f t="shared" si="39"/>
        <v>0</v>
      </c>
      <c r="G625" s="5">
        <f t="shared" si="36"/>
        <v>0</v>
      </c>
      <c r="H625" s="5">
        <f t="shared" si="37"/>
        <v>0</v>
      </c>
      <c r="I625" s="5">
        <f t="shared" si="38"/>
        <v>0</v>
      </c>
      <c r="J625" s="5">
        <v>100</v>
      </c>
      <c r="K625" s="5" t="s">
        <v>51</v>
      </c>
      <c r="L625" s="5">
        <v>39</v>
      </c>
      <c r="M625" t="str" cm="1">
        <f t="array" ref="M625">_xlfn.IFS(L625&lt;=14,"Short",L625&lt;=30,"Medium",L625&lt;=45,"Long",L625&lt;=60,"Very Long")</f>
        <v>Long</v>
      </c>
      <c r="N625" s="5" t="s">
        <v>13</v>
      </c>
      <c r="O625" s="6">
        <v>4.0999999999999996</v>
      </c>
    </row>
    <row r="626" spans="1:15" x14ac:dyDescent="0.25">
      <c r="A626" s="1" t="s">
        <v>685</v>
      </c>
      <c r="B626" s="2">
        <v>39</v>
      </c>
      <c r="C626" t="str" cm="1">
        <f t="array" ref="C626">_xlfn.IFS(B626&lt;=30,"Young",B626&lt;=50,"Middle-aged",B626&gt;50,"Older")</f>
        <v>Middle-aged</v>
      </c>
      <c r="D626" s="2" t="s">
        <v>10</v>
      </c>
      <c r="E626" s="2" t="s">
        <v>33</v>
      </c>
      <c r="F626" s="2">
        <f t="shared" si="39"/>
        <v>0</v>
      </c>
      <c r="G626" s="2">
        <f t="shared" si="36"/>
        <v>0</v>
      </c>
      <c r="H626" s="2">
        <f t="shared" si="37"/>
        <v>0</v>
      </c>
      <c r="I626" s="2">
        <f t="shared" si="38"/>
        <v>1</v>
      </c>
      <c r="J626" s="2">
        <v>850</v>
      </c>
      <c r="K626" s="2" t="s">
        <v>47</v>
      </c>
      <c r="L626" s="2">
        <v>37</v>
      </c>
      <c r="M626" t="str" cm="1">
        <f t="array" ref="M626">_xlfn.IFS(L626&lt;=14,"Short",L626&lt;=30,"Medium",L626&lt;=45,"Long",L626&lt;=60,"Very Long")</f>
        <v>Long</v>
      </c>
      <c r="N626" s="2" t="s">
        <v>225</v>
      </c>
      <c r="O626" s="3">
        <v>7</v>
      </c>
    </row>
    <row r="627" spans="1:15" x14ac:dyDescent="0.25">
      <c r="A627" s="4" t="s">
        <v>686</v>
      </c>
      <c r="B627" s="5">
        <v>46</v>
      </c>
      <c r="C627" t="str" cm="1">
        <f t="array" ref="C627">_xlfn.IFS(B627&lt;=30,"Young",B627&lt;=50,"Middle-aged",B627&gt;50,"Older")</f>
        <v>Middle-aged</v>
      </c>
      <c r="D627" s="5" t="s">
        <v>10</v>
      </c>
      <c r="E627" s="5" t="s">
        <v>33</v>
      </c>
      <c r="F627" s="5">
        <f t="shared" si="39"/>
        <v>0</v>
      </c>
      <c r="G627" s="5">
        <f t="shared" si="36"/>
        <v>0</v>
      </c>
      <c r="H627" s="5">
        <f t="shared" si="37"/>
        <v>0</v>
      </c>
      <c r="I627" s="5">
        <f t="shared" si="38"/>
        <v>1</v>
      </c>
      <c r="J627" s="5">
        <v>500</v>
      </c>
      <c r="K627" s="5" t="s">
        <v>34</v>
      </c>
      <c r="L627" s="5">
        <v>24</v>
      </c>
      <c r="M627" t="str" cm="1">
        <f t="array" ref="M627">_xlfn.IFS(L627&lt;=14,"Short",L627&lt;=30,"Medium",L627&lt;=45,"Long",L627&lt;=60,"Very Long")</f>
        <v>Medium</v>
      </c>
      <c r="N627" s="5" t="s">
        <v>35</v>
      </c>
      <c r="O627" s="6">
        <v>6</v>
      </c>
    </row>
    <row r="628" spans="1:15" x14ac:dyDescent="0.25">
      <c r="A628" s="1" t="s">
        <v>687</v>
      </c>
      <c r="B628" s="2">
        <v>72</v>
      </c>
      <c r="C628" t="str" cm="1">
        <f t="array" ref="C628">_xlfn.IFS(B628&lt;=30,"Young",B628&lt;=50,"Middle-aged",B628&gt;50,"Older")</f>
        <v>Older</v>
      </c>
      <c r="D628" s="2" t="s">
        <v>19</v>
      </c>
      <c r="E628" s="2" t="s">
        <v>20</v>
      </c>
      <c r="F628" s="2">
        <f t="shared" si="39"/>
        <v>0</v>
      </c>
      <c r="G628" s="2">
        <f t="shared" si="36"/>
        <v>1</v>
      </c>
      <c r="H628" s="2">
        <f t="shared" si="37"/>
        <v>0</v>
      </c>
      <c r="I628" s="2">
        <f t="shared" si="38"/>
        <v>0</v>
      </c>
      <c r="J628" s="2">
        <v>50</v>
      </c>
      <c r="K628" s="2" t="s">
        <v>21</v>
      </c>
      <c r="L628" s="2">
        <v>20</v>
      </c>
      <c r="M628" t="str" cm="1">
        <f t="array" ref="M628">_xlfn.IFS(L628&lt;=14,"Short",L628&lt;=30,"Medium",L628&lt;=45,"Long",L628&lt;=60,"Very Long")</f>
        <v>Medium</v>
      </c>
      <c r="N628" s="2" t="s">
        <v>41</v>
      </c>
      <c r="O628" s="3">
        <v>6.3</v>
      </c>
    </row>
    <row r="629" spans="1:15" x14ac:dyDescent="0.25">
      <c r="A629" s="4" t="s">
        <v>688</v>
      </c>
      <c r="B629" s="5">
        <v>20</v>
      </c>
      <c r="C629" t="str" cm="1">
        <f t="array" ref="C629">_xlfn.IFS(B629&lt;=30,"Young",B629&lt;=50,"Middle-aged",B629&gt;50,"Older")</f>
        <v>Young</v>
      </c>
      <c r="D629" s="5" t="s">
        <v>19</v>
      </c>
      <c r="E629" s="5" t="s">
        <v>24</v>
      </c>
      <c r="F629" s="5">
        <f t="shared" si="39"/>
        <v>0</v>
      </c>
      <c r="G629" s="5">
        <f t="shared" si="36"/>
        <v>0</v>
      </c>
      <c r="H629" s="5">
        <f t="shared" si="37"/>
        <v>1</v>
      </c>
      <c r="I629" s="5">
        <f t="shared" si="38"/>
        <v>0</v>
      </c>
      <c r="J629" s="5">
        <v>50</v>
      </c>
      <c r="K629" s="5" t="s">
        <v>59</v>
      </c>
      <c r="L629" s="5">
        <v>38</v>
      </c>
      <c r="M629" t="str" cm="1">
        <f t="array" ref="M629">_xlfn.IFS(L629&lt;=14,"Short",L629&lt;=30,"Medium",L629&lt;=45,"Long",L629&lt;=60,"Very Long")</f>
        <v>Long</v>
      </c>
      <c r="N629" s="5" t="s">
        <v>60</v>
      </c>
      <c r="O629" s="6">
        <v>9.1999999999999993</v>
      </c>
    </row>
    <row r="630" spans="1:15" x14ac:dyDescent="0.25">
      <c r="A630" s="1" t="s">
        <v>689</v>
      </c>
      <c r="B630" s="2">
        <v>29</v>
      </c>
      <c r="C630" t="str" cm="1">
        <f t="array" ref="C630">_xlfn.IFS(B630&lt;=30,"Young",B630&lt;=50,"Middle-aged",B630&gt;50,"Older")</f>
        <v>Young</v>
      </c>
      <c r="D630" s="2" t="s">
        <v>10</v>
      </c>
      <c r="E630" s="2" t="s">
        <v>33</v>
      </c>
      <c r="F630" s="2">
        <f t="shared" si="39"/>
        <v>0</v>
      </c>
      <c r="G630" s="2">
        <f t="shared" si="36"/>
        <v>0</v>
      </c>
      <c r="H630" s="2">
        <f t="shared" si="37"/>
        <v>0</v>
      </c>
      <c r="I630" s="2">
        <f t="shared" si="38"/>
        <v>1</v>
      </c>
      <c r="J630" s="2">
        <v>50</v>
      </c>
      <c r="K630" s="2" t="s">
        <v>34</v>
      </c>
      <c r="L630" s="2">
        <v>6</v>
      </c>
      <c r="M630" t="str" cm="1">
        <f t="array" ref="M630">_xlfn.IFS(L630&lt;=14,"Short",L630&lt;=30,"Medium",L630&lt;=45,"Long",L630&lt;=60,"Very Long")</f>
        <v>Short</v>
      </c>
      <c r="N630" s="2" t="s">
        <v>97</v>
      </c>
      <c r="O630" s="3">
        <v>5.0999999999999996</v>
      </c>
    </row>
    <row r="631" spans="1:15" x14ac:dyDescent="0.25">
      <c r="A631" s="4" t="s">
        <v>690</v>
      </c>
      <c r="B631" s="5">
        <v>43</v>
      </c>
      <c r="C631" t="str" cm="1">
        <f t="array" ref="C631">_xlfn.IFS(B631&lt;=30,"Young",B631&lt;=50,"Middle-aged",B631&gt;50,"Older")</f>
        <v>Middle-aged</v>
      </c>
      <c r="D631" s="5" t="s">
        <v>10</v>
      </c>
      <c r="E631" s="5" t="s">
        <v>20</v>
      </c>
      <c r="F631" s="5">
        <f t="shared" si="39"/>
        <v>0</v>
      </c>
      <c r="G631" s="5">
        <f t="shared" si="36"/>
        <v>1</v>
      </c>
      <c r="H631" s="5">
        <f t="shared" si="37"/>
        <v>0</v>
      </c>
      <c r="I631" s="5">
        <f t="shared" si="38"/>
        <v>0</v>
      </c>
      <c r="J631" s="5">
        <v>850</v>
      </c>
      <c r="K631" s="5" t="s">
        <v>37</v>
      </c>
      <c r="L631" s="5">
        <v>39</v>
      </c>
      <c r="M631" t="str" cm="1">
        <f t="array" ref="M631">_xlfn.IFS(L631&lt;=14,"Short",L631&lt;=30,"Medium",L631&lt;=45,"Long",L631&lt;=60,"Very Long")</f>
        <v>Long</v>
      </c>
      <c r="N631" s="5" t="s">
        <v>13</v>
      </c>
      <c r="O631" s="6">
        <v>8.1999999999999993</v>
      </c>
    </row>
    <row r="632" spans="1:15" x14ac:dyDescent="0.25">
      <c r="A632" s="1" t="s">
        <v>691</v>
      </c>
      <c r="B632" s="2">
        <v>33</v>
      </c>
      <c r="C632" t="str" cm="1">
        <f t="array" ref="C632">_xlfn.IFS(B632&lt;=30,"Young",B632&lt;=50,"Middle-aged",B632&gt;50,"Older")</f>
        <v>Middle-aged</v>
      </c>
      <c r="D632" s="2" t="s">
        <v>19</v>
      </c>
      <c r="E632" s="2" t="s">
        <v>20</v>
      </c>
      <c r="F632" s="2">
        <f t="shared" si="39"/>
        <v>0</v>
      </c>
      <c r="G632" s="2">
        <f t="shared" si="36"/>
        <v>1</v>
      </c>
      <c r="H632" s="2">
        <f t="shared" si="37"/>
        <v>0</v>
      </c>
      <c r="I632" s="2">
        <f t="shared" si="38"/>
        <v>0</v>
      </c>
      <c r="J632" s="2">
        <v>850</v>
      </c>
      <c r="K632" s="2" t="s">
        <v>55</v>
      </c>
      <c r="L632" s="2">
        <v>44</v>
      </c>
      <c r="M632" t="str" cm="1">
        <f t="array" ref="M632">_xlfn.IFS(L632&lt;=14,"Short",L632&lt;=30,"Medium",L632&lt;=45,"Long",L632&lt;=60,"Very Long")</f>
        <v>Long</v>
      </c>
      <c r="N632" s="2" t="s">
        <v>148</v>
      </c>
      <c r="O632" s="3">
        <v>6.6</v>
      </c>
    </row>
    <row r="633" spans="1:15" x14ac:dyDescent="0.25">
      <c r="A633" s="4" t="s">
        <v>692</v>
      </c>
      <c r="B633" s="5">
        <v>68</v>
      </c>
      <c r="C633" t="str" cm="1">
        <f t="array" ref="C633">_xlfn.IFS(B633&lt;=30,"Young",B633&lt;=50,"Middle-aged",B633&gt;50,"Older")</f>
        <v>Older</v>
      </c>
      <c r="D633" s="5" t="s">
        <v>19</v>
      </c>
      <c r="E633" s="5" t="s">
        <v>11</v>
      </c>
      <c r="F633" s="5">
        <f t="shared" si="39"/>
        <v>0</v>
      </c>
      <c r="G633" s="5">
        <f t="shared" si="36"/>
        <v>0</v>
      </c>
      <c r="H633" s="5">
        <f t="shared" si="37"/>
        <v>0</v>
      </c>
      <c r="I633" s="5">
        <f t="shared" si="38"/>
        <v>0</v>
      </c>
      <c r="J633" s="5">
        <v>100</v>
      </c>
      <c r="K633" s="5" t="s">
        <v>84</v>
      </c>
      <c r="L633" s="5">
        <v>32</v>
      </c>
      <c r="M633" t="str" cm="1">
        <f t="array" ref="M633">_xlfn.IFS(L633&lt;=14,"Short",L633&lt;=30,"Medium",L633&lt;=45,"Long",L633&lt;=60,"Very Long")</f>
        <v>Long</v>
      </c>
      <c r="N633" s="5" t="s">
        <v>93</v>
      </c>
      <c r="O633" s="6">
        <v>6.6</v>
      </c>
    </row>
    <row r="634" spans="1:15" x14ac:dyDescent="0.25">
      <c r="A634" s="1" t="s">
        <v>693</v>
      </c>
      <c r="B634" s="2">
        <v>54</v>
      </c>
      <c r="C634" t="str" cm="1">
        <f t="array" ref="C634">_xlfn.IFS(B634&lt;=30,"Young",B634&lt;=50,"Middle-aged",B634&gt;50,"Older")</f>
        <v>Older</v>
      </c>
      <c r="D634" s="2" t="s">
        <v>10</v>
      </c>
      <c r="E634" s="2" t="s">
        <v>11</v>
      </c>
      <c r="F634" s="2">
        <f t="shared" si="39"/>
        <v>0</v>
      </c>
      <c r="G634" s="2">
        <f t="shared" si="36"/>
        <v>0</v>
      </c>
      <c r="H634" s="2">
        <f t="shared" si="37"/>
        <v>0</v>
      </c>
      <c r="I634" s="2">
        <f t="shared" si="38"/>
        <v>0</v>
      </c>
      <c r="J634" s="2">
        <v>100</v>
      </c>
      <c r="K634" s="2" t="s">
        <v>51</v>
      </c>
      <c r="L634" s="2">
        <v>51</v>
      </c>
      <c r="M634" t="str" cm="1">
        <f t="array" ref="M634">_xlfn.IFS(L634&lt;=14,"Short",L634&lt;=30,"Medium",L634&lt;=45,"Long",L634&lt;=60,"Very Long")</f>
        <v>Very Long</v>
      </c>
      <c r="N634" s="2" t="s">
        <v>13</v>
      </c>
      <c r="O634" s="3">
        <v>8.1999999999999993</v>
      </c>
    </row>
    <row r="635" spans="1:15" x14ac:dyDescent="0.25">
      <c r="A635" s="4" t="s">
        <v>694</v>
      </c>
      <c r="B635" s="5">
        <v>39</v>
      </c>
      <c r="C635" t="str" cm="1">
        <f t="array" ref="C635">_xlfn.IFS(B635&lt;=30,"Young",B635&lt;=50,"Middle-aged",B635&gt;50,"Older")</f>
        <v>Middle-aged</v>
      </c>
      <c r="D635" s="5" t="s">
        <v>19</v>
      </c>
      <c r="E635" s="5" t="s">
        <v>20</v>
      </c>
      <c r="F635" s="5">
        <f t="shared" si="39"/>
        <v>0</v>
      </c>
      <c r="G635" s="5">
        <f t="shared" si="36"/>
        <v>1</v>
      </c>
      <c r="H635" s="5">
        <f t="shared" si="37"/>
        <v>0</v>
      </c>
      <c r="I635" s="5">
        <f t="shared" si="38"/>
        <v>0</v>
      </c>
      <c r="J635" s="5">
        <v>850</v>
      </c>
      <c r="K635" s="5" t="s">
        <v>55</v>
      </c>
      <c r="L635" s="5">
        <v>43</v>
      </c>
      <c r="M635" t="str" cm="1">
        <f t="array" ref="M635">_xlfn.IFS(L635&lt;=14,"Short",L635&lt;=30,"Medium",L635&lt;=45,"Long",L635&lt;=60,"Very Long")</f>
        <v>Long</v>
      </c>
      <c r="N635" s="5" t="s">
        <v>22</v>
      </c>
      <c r="O635" s="6">
        <v>7.5</v>
      </c>
    </row>
    <row r="636" spans="1:15" x14ac:dyDescent="0.25">
      <c r="A636" s="1" t="s">
        <v>695</v>
      </c>
      <c r="B636" s="2">
        <v>74</v>
      </c>
      <c r="C636" t="str" cm="1">
        <f t="array" ref="C636">_xlfn.IFS(B636&lt;=30,"Young",B636&lt;=50,"Middle-aged",B636&gt;50,"Older")</f>
        <v>Older</v>
      </c>
      <c r="D636" s="2" t="s">
        <v>10</v>
      </c>
      <c r="E636" s="2" t="s">
        <v>11</v>
      </c>
      <c r="F636" s="2">
        <f t="shared" si="39"/>
        <v>0</v>
      </c>
      <c r="G636" s="2">
        <f t="shared" si="36"/>
        <v>0</v>
      </c>
      <c r="H636" s="2">
        <f t="shared" si="37"/>
        <v>0</v>
      </c>
      <c r="I636" s="2">
        <f t="shared" si="38"/>
        <v>0</v>
      </c>
      <c r="J636" s="2">
        <v>250</v>
      </c>
      <c r="K636" s="2" t="s">
        <v>12</v>
      </c>
      <c r="L636" s="2">
        <v>10</v>
      </c>
      <c r="M636" t="str" cm="1">
        <f t="array" ref="M636">_xlfn.IFS(L636&lt;=14,"Short",L636&lt;=30,"Medium",L636&lt;=45,"Long",L636&lt;=60,"Very Long")</f>
        <v>Short</v>
      </c>
      <c r="N636" s="2" t="s">
        <v>13</v>
      </c>
      <c r="O636" s="3">
        <v>7.9</v>
      </c>
    </row>
    <row r="637" spans="1:15" x14ac:dyDescent="0.25">
      <c r="A637" s="4" t="s">
        <v>696</v>
      </c>
      <c r="B637" s="5">
        <v>46</v>
      </c>
      <c r="C637" t="str" cm="1">
        <f t="array" ref="C637">_xlfn.IFS(B637&lt;=30,"Young",B637&lt;=50,"Middle-aged",B637&gt;50,"Older")</f>
        <v>Middle-aged</v>
      </c>
      <c r="D637" s="5" t="s">
        <v>10</v>
      </c>
      <c r="E637" s="5" t="s">
        <v>33</v>
      </c>
      <c r="F637" s="5">
        <f t="shared" si="39"/>
        <v>0</v>
      </c>
      <c r="G637" s="5">
        <f t="shared" si="36"/>
        <v>0</v>
      </c>
      <c r="H637" s="5">
        <f t="shared" si="37"/>
        <v>0</v>
      </c>
      <c r="I637" s="5">
        <f t="shared" si="38"/>
        <v>1</v>
      </c>
      <c r="J637" s="5">
        <v>50</v>
      </c>
      <c r="K637" s="5" t="s">
        <v>34</v>
      </c>
      <c r="L637" s="5">
        <v>13</v>
      </c>
      <c r="M637" t="str" cm="1">
        <f t="array" ref="M637">_xlfn.IFS(L637&lt;=14,"Short",L637&lt;=30,"Medium",L637&lt;=45,"Long",L637&lt;=60,"Very Long")</f>
        <v>Short</v>
      </c>
      <c r="N637" s="5" t="s">
        <v>95</v>
      </c>
      <c r="O637" s="6">
        <v>8.5</v>
      </c>
    </row>
    <row r="638" spans="1:15" x14ac:dyDescent="0.25">
      <c r="A638" s="1" t="s">
        <v>697</v>
      </c>
      <c r="B638" s="2">
        <v>31</v>
      </c>
      <c r="C638" t="str" cm="1">
        <f t="array" ref="C638">_xlfn.IFS(B638&lt;=30,"Young",B638&lt;=50,"Middle-aged",B638&gt;50,"Older")</f>
        <v>Middle-aged</v>
      </c>
      <c r="D638" s="2" t="s">
        <v>10</v>
      </c>
      <c r="E638" s="2" t="s">
        <v>15</v>
      </c>
      <c r="F638" s="2">
        <f t="shared" si="39"/>
        <v>1</v>
      </c>
      <c r="G638" s="2">
        <f t="shared" si="36"/>
        <v>0</v>
      </c>
      <c r="H638" s="2">
        <f t="shared" si="37"/>
        <v>0</v>
      </c>
      <c r="I638" s="2">
        <f t="shared" si="38"/>
        <v>0</v>
      </c>
      <c r="J638" s="2">
        <v>250</v>
      </c>
      <c r="K638" s="2" t="s">
        <v>16</v>
      </c>
      <c r="L638" s="2">
        <v>24</v>
      </c>
      <c r="M638" t="str" cm="1">
        <f t="array" ref="M638">_xlfn.IFS(L638&lt;=14,"Short",L638&lt;=30,"Medium",L638&lt;=45,"Long",L638&lt;=60,"Very Long")</f>
        <v>Medium</v>
      </c>
      <c r="N638" s="2" t="s">
        <v>17</v>
      </c>
      <c r="O638" s="3">
        <v>6.5</v>
      </c>
    </row>
    <row r="639" spans="1:15" x14ac:dyDescent="0.25">
      <c r="A639" s="4" t="s">
        <v>698</v>
      </c>
      <c r="B639" s="5">
        <v>45</v>
      </c>
      <c r="C639" t="str" cm="1">
        <f t="array" ref="C639">_xlfn.IFS(B639&lt;=30,"Young",B639&lt;=50,"Middle-aged",B639&gt;50,"Older")</f>
        <v>Middle-aged</v>
      </c>
      <c r="D639" s="5" t="s">
        <v>10</v>
      </c>
      <c r="E639" s="5" t="s">
        <v>33</v>
      </c>
      <c r="F639" s="5">
        <f t="shared" si="39"/>
        <v>0</v>
      </c>
      <c r="G639" s="5">
        <f t="shared" si="36"/>
        <v>0</v>
      </c>
      <c r="H639" s="5">
        <f t="shared" si="37"/>
        <v>0</v>
      </c>
      <c r="I639" s="5">
        <f t="shared" si="38"/>
        <v>1</v>
      </c>
      <c r="J639" s="5">
        <v>50</v>
      </c>
      <c r="K639" s="5" t="s">
        <v>49</v>
      </c>
      <c r="L639" s="5">
        <v>5</v>
      </c>
      <c r="M639" t="str" cm="1">
        <f t="array" ref="M639">_xlfn.IFS(L639&lt;=14,"Short",L639&lt;=30,"Medium",L639&lt;=45,"Long",L639&lt;=60,"Very Long")</f>
        <v>Short</v>
      </c>
      <c r="N639" s="5" t="s">
        <v>91</v>
      </c>
      <c r="O639" s="6">
        <v>6.1</v>
      </c>
    </row>
    <row r="640" spans="1:15" x14ac:dyDescent="0.25">
      <c r="A640" s="1" t="s">
        <v>699</v>
      </c>
      <c r="B640" s="2">
        <v>22</v>
      </c>
      <c r="C640" t="str" cm="1">
        <f t="array" ref="C640">_xlfn.IFS(B640&lt;=30,"Young",B640&lt;=50,"Middle-aged",B640&gt;50,"Older")</f>
        <v>Young</v>
      </c>
      <c r="D640" s="2" t="s">
        <v>10</v>
      </c>
      <c r="E640" s="2" t="s">
        <v>20</v>
      </c>
      <c r="F640" s="2">
        <f t="shared" si="39"/>
        <v>0</v>
      </c>
      <c r="G640" s="2">
        <f t="shared" si="36"/>
        <v>1</v>
      </c>
      <c r="H640" s="2">
        <f t="shared" si="37"/>
        <v>0</v>
      </c>
      <c r="I640" s="2">
        <f t="shared" si="38"/>
        <v>0</v>
      </c>
      <c r="J640" s="2">
        <v>250</v>
      </c>
      <c r="K640" s="2" t="s">
        <v>21</v>
      </c>
      <c r="L640" s="2">
        <v>12</v>
      </c>
      <c r="M640" t="str" cm="1">
        <f t="array" ref="M640">_xlfn.IFS(L640&lt;=14,"Short",L640&lt;=30,"Medium",L640&lt;=45,"Long",L640&lt;=60,"Very Long")</f>
        <v>Short</v>
      </c>
      <c r="N640" s="2" t="s">
        <v>28</v>
      </c>
      <c r="O640" s="3">
        <v>5.4</v>
      </c>
    </row>
    <row r="641" spans="1:15" x14ac:dyDescent="0.25">
      <c r="A641" s="4" t="s">
        <v>700</v>
      </c>
      <c r="B641" s="5">
        <v>64</v>
      </c>
      <c r="C641" t="str" cm="1">
        <f t="array" ref="C641">_xlfn.IFS(B641&lt;=30,"Young",B641&lt;=50,"Middle-aged",B641&gt;50,"Older")</f>
        <v>Older</v>
      </c>
      <c r="D641" s="5" t="s">
        <v>19</v>
      </c>
      <c r="E641" s="5" t="s">
        <v>20</v>
      </c>
      <c r="F641" s="5">
        <f t="shared" si="39"/>
        <v>0</v>
      </c>
      <c r="G641" s="5">
        <f t="shared" si="36"/>
        <v>1</v>
      </c>
      <c r="H641" s="5">
        <f t="shared" si="37"/>
        <v>0</v>
      </c>
      <c r="I641" s="5">
        <f t="shared" si="38"/>
        <v>0</v>
      </c>
      <c r="J641" s="5">
        <v>50</v>
      </c>
      <c r="K641" s="5" t="s">
        <v>37</v>
      </c>
      <c r="L641" s="5">
        <v>59</v>
      </c>
      <c r="M641" t="str" cm="1">
        <f t="array" ref="M641">_xlfn.IFS(L641&lt;=14,"Short",L641&lt;=30,"Medium",L641&lt;=45,"Long",L641&lt;=60,"Very Long")</f>
        <v>Very Long</v>
      </c>
      <c r="N641" s="5" t="s">
        <v>173</v>
      </c>
      <c r="O641" s="6">
        <v>5.8</v>
      </c>
    </row>
    <row r="642" spans="1:15" x14ac:dyDescent="0.25">
      <c r="A642" s="1" t="s">
        <v>701</v>
      </c>
      <c r="B642" s="2">
        <v>66</v>
      </c>
      <c r="C642" t="str" cm="1">
        <f t="array" ref="C642">_xlfn.IFS(B642&lt;=30,"Young",B642&lt;=50,"Middle-aged",B642&gt;50,"Older")</f>
        <v>Older</v>
      </c>
      <c r="D642" s="2" t="s">
        <v>19</v>
      </c>
      <c r="E642" s="2" t="s">
        <v>33</v>
      </c>
      <c r="F642" s="2">
        <f t="shared" si="39"/>
        <v>0</v>
      </c>
      <c r="G642" s="2">
        <f t="shared" ref="G642:G705" si="40">IF($E642="Depression",1,0)</f>
        <v>0</v>
      </c>
      <c r="H642" s="2">
        <f t="shared" ref="H642:H705" si="41">IF($E642="Diabetes",1,0)</f>
        <v>0</v>
      </c>
      <c r="I642" s="2">
        <f t="shared" ref="I642:I705" si="42">IF($E642="Pain relief",1,0)</f>
        <v>1</v>
      </c>
      <c r="J642" s="2">
        <v>250</v>
      </c>
      <c r="K642" s="2" t="s">
        <v>49</v>
      </c>
      <c r="L642" s="2">
        <v>27</v>
      </c>
      <c r="M642" t="str" cm="1">
        <f t="array" ref="M642">_xlfn.IFS(L642&lt;=14,"Short",L642&lt;=30,"Medium",L642&lt;=45,"Long",L642&lt;=60,"Very Long")</f>
        <v>Medium</v>
      </c>
      <c r="N642" s="2" t="s">
        <v>30</v>
      </c>
      <c r="O642" s="3">
        <v>10</v>
      </c>
    </row>
    <row r="643" spans="1:15" x14ac:dyDescent="0.25">
      <c r="A643" s="4" t="s">
        <v>702</v>
      </c>
      <c r="B643" s="5">
        <v>47</v>
      </c>
      <c r="C643" t="str" cm="1">
        <f t="array" ref="C643">_xlfn.IFS(B643&lt;=30,"Young",B643&lt;=50,"Middle-aged",B643&gt;50,"Older")</f>
        <v>Middle-aged</v>
      </c>
      <c r="D643" s="5" t="s">
        <v>19</v>
      </c>
      <c r="E643" s="5" t="s">
        <v>11</v>
      </c>
      <c r="F643" s="5">
        <f t="shared" ref="F643:F706" si="43">IF($E643="Hypertension",1,0)</f>
        <v>0</v>
      </c>
      <c r="G643" s="5">
        <f t="shared" si="40"/>
        <v>0</v>
      </c>
      <c r="H643" s="5">
        <f t="shared" si="41"/>
        <v>0</v>
      </c>
      <c r="I643" s="5">
        <f t="shared" si="42"/>
        <v>0</v>
      </c>
      <c r="J643" s="5">
        <v>250</v>
      </c>
      <c r="K643" s="5" t="s">
        <v>51</v>
      </c>
      <c r="L643" s="5">
        <v>7</v>
      </c>
      <c r="M643" t="str" cm="1">
        <f t="array" ref="M643">_xlfn.IFS(L643&lt;=14,"Short",L643&lt;=30,"Medium",L643&lt;=45,"Long",L643&lt;=60,"Very Long")</f>
        <v>Short</v>
      </c>
      <c r="N643" s="5" t="s">
        <v>41</v>
      </c>
      <c r="O643" s="6">
        <v>8.9</v>
      </c>
    </row>
    <row r="644" spans="1:15" x14ac:dyDescent="0.25">
      <c r="A644" s="1" t="s">
        <v>703</v>
      </c>
      <c r="B644" s="2">
        <v>63</v>
      </c>
      <c r="C644" t="str" cm="1">
        <f t="array" ref="C644">_xlfn.IFS(B644&lt;=30,"Young",B644&lt;=50,"Middle-aged",B644&gt;50,"Older")</f>
        <v>Older</v>
      </c>
      <c r="D644" s="2" t="s">
        <v>19</v>
      </c>
      <c r="E644" s="2" t="s">
        <v>11</v>
      </c>
      <c r="F644" s="2">
        <f t="shared" si="43"/>
        <v>0</v>
      </c>
      <c r="G644" s="2">
        <f t="shared" si="40"/>
        <v>0</v>
      </c>
      <c r="H644" s="2">
        <f t="shared" si="41"/>
        <v>0</v>
      </c>
      <c r="I644" s="2">
        <f t="shared" si="42"/>
        <v>0</v>
      </c>
      <c r="J644" s="2">
        <v>250</v>
      </c>
      <c r="K644" s="2" t="s">
        <v>84</v>
      </c>
      <c r="L644" s="2">
        <v>8</v>
      </c>
      <c r="M644" t="str" cm="1">
        <f t="array" ref="M644">_xlfn.IFS(L644&lt;=14,"Short",L644&lt;=30,"Medium",L644&lt;=45,"Long",L644&lt;=60,"Very Long")</f>
        <v>Short</v>
      </c>
      <c r="N644" s="2" t="s">
        <v>85</v>
      </c>
      <c r="O644" s="3">
        <v>5</v>
      </c>
    </row>
    <row r="645" spans="1:15" x14ac:dyDescent="0.25">
      <c r="A645" s="4" t="s">
        <v>704</v>
      </c>
      <c r="B645" s="5">
        <v>79</v>
      </c>
      <c r="C645" t="str" cm="1">
        <f t="array" ref="C645">_xlfn.IFS(B645&lt;=30,"Young",B645&lt;=50,"Middle-aged",B645&gt;50,"Older")</f>
        <v>Older</v>
      </c>
      <c r="D645" s="5" t="s">
        <v>10</v>
      </c>
      <c r="E645" s="5" t="s">
        <v>20</v>
      </c>
      <c r="F645" s="5">
        <f t="shared" si="43"/>
        <v>0</v>
      </c>
      <c r="G645" s="5">
        <f t="shared" si="40"/>
        <v>1</v>
      </c>
      <c r="H645" s="5">
        <f t="shared" si="41"/>
        <v>0</v>
      </c>
      <c r="I645" s="5">
        <f t="shared" si="42"/>
        <v>0</v>
      </c>
      <c r="J645" s="5">
        <v>850</v>
      </c>
      <c r="K645" s="5" t="s">
        <v>55</v>
      </c>
      <c r="L645" s="5">
        <v>29</v>
      </c>
      <c r="M645" t="str" cm="1">
        <f t="array" ref="M645">_xlfn.IFS(L645&lt;=14,"Short",L645&lt;=30,"Medium",L645&lt;=45,"Long",L645&lt;=60,"Very Long")</f>
        <v>Medium</v>
      </c>
      <c r="N645" s="5" t="s">
        <v>78</v>
      </c>
      <c r="O645" s="6">
        <v>5</v>
      </c>
    </row>
    <row r="646" spans="1:15" x14ac:dyDescent="0.25">
      <c r="A646" s="1" t="s">
        <v>705</v>
      </c>
      <c r="B646" s="2">
        <v>69</v>
      </c>
      <c r="C646" t="str" cm="1">
        <f t="array" ref="C646">_xlfn.IFS(B646&lt;=30,"Young",B646&lt;=50,"Middle-aged",B646&gt;50,"Older")</f>
        <v>Older</v>
      </c>
      <c r="D646" s="2" t="s">
        <v>10</v>
      </c>
      <c r="E646" s="2" t="s">
        <v>24</v>
      </c>
      <c r="F646" s="2">
        <f t="shared" si="43"/>
        <v>0</v>
      </c>
      <c r="G646" s="2">
        <f t="shared" si="40"/>
        <v>0</v>
      </c>
      <c r="H646" s="2">
        <f t="shared" si="41"/>
        <v>1</v>
      </c>
      <c r="I646" s="2">
        <f t="shared" si="42"/>
        <v>0</v>
      </c>
      <c r="J646" s="2">
        <v>50</v>
      </c>
      <c r="K646" s="2" t="s">
        <v>25</v>
      </c>
      <c r="L646" s="2">
        <v>51</v>
      </c>
      <c r="M646" t="str" cm="1">
        <f t="array" ref="M646">_xlfn.IFS(L646&lt;=14,"Short",L646&lt;=30,"Medium",L646&lt;=45,"Long",L646&lt;=60,"Very Long")</f>
        <v>Very Long</v>
      </c>
      <c r="N646" s="2" t="s">
        <v>70</v>
      </c>
      <c r="O646" s="3">
        <v>7.7</v>
      </c>
    </row>
    <row r="647" spans="1:15" x14ac:dyDescent="0.25">
      <c r="A647" s="4" t="s">
        <v>706</v>
      </c>
      <c r="B647" s="5">
        <v>22</v>
      </c>
      <c r="C647" t="str" cm="1">
        <f t="array" ref="C647">_xlfn.IFS(B647&lt;=30,"Young",B647&lt;=50,"Middle-aged",B647&gt;50,"Older")</f>
        <v>Young</v>
      </c>
      <c r="D647" s="5" t="s">
        <v>10</v>
      </c>
      <c r="E647" s="5" t="s">
        <v>11</v>
      </c>
      <c r="F647" s="5">
        <f t="shared" si="43"/>
        <v>0</v>
      </c>
      <c r="G647" s="5">
        <f t="shared" si="40"/>
        <v>0</v>
      </c>
      <c r="H647" s="5">
        <f t="shared" si="41"/>
        <v>0</v>
      </c>
      <c r="I647" s="5">
        <f t="shared" si="42"/>
        <v>0</v>
      </c>
      <c r="J647" s="5">
        <v>100</v>
      </c>
      <c r="K647" s="5" t="s">
        <v>84</v>
      </c>
      <c r="L647" s="5">
        <v>42</v>
      </c>
      <c r="M647" t="str" cm="1">
        <f t="array" ref="M647">_xlfn.IFS(L647&lt;=14,"Short",L647&lt;=30,"Medium",L647&lt;=45,"Long",L647&lt;=60,"Very Long")</f>
        <v>Long</v>
      </c>
      <c r="N647" s="5" t="s">
        <v>97</v>
      </c>
      <c r="O647" s="6">
        <v>7.8</v>
      </c>
    </row>
    <row r="648" spans="1:15" x14ac:dyDescent="0.25">
      <c r="A648" s="1" t="s">
        <v>707</v>
      </c>
      <c r="B648" s="2">
        <v>29</v>
      </c>
      <c r="C648" t="str" cm="1">
        <f t="array" ref="C648">_xlfn.IFS(B648&lt;=30,"Young",B648&lt;=50,"Middle-aged",B648&gt;50,"Older")</f>
        <v>Young</v>
      </c>
      <c r="D648" s="2" t="s">
        <v>10</v>
      </c>
      <c r="E648" s="2" t="s">
        <v>33</v>
      </c>
      <c r="F648" s="2">
        <f t="shared" si="43"/>
        <v>0</v>
      </c>
      <c r="G648" s="2">
        <f t="shared" si="40"/>
        <v>0</v>
      </c>
      <c r="H648" s="2">
        <f t="shared" si="41"/>
        <v>0</v>
      </c>
      <c r="I648" s="2">
        <f t="shared" si="42"/>
        <v>1</v>
      </c>
      <c r="J648" s="2">
        <v>500</v>
      </c>
      <c r="K648" s="2" t="s">
        <v>49</v>
      </c>
      <c r="L648" s="2">
        <v>19</v>
      </c>
      <c r="M648" t="str" cm="1">
        <f t="array" ref="M648">_xlfn.IFS(L648&lt;=14,"Short",L648&lt;=30,"Medium",L648&lt;=45,"Long",L648&lt;=60,"Very Long")</f>
        <v>Medium</v>
      </c>
      <c r="N648" s="2" t="s">
        <v>30</v>
      </c>
      <c r="O648" s="3">
        <v>7.8</v>
      </c>
    </row>
    <row r="649" spans="1:15" x14ac:dyDescent="0.25">
      <c r="A649" s="4" t="s">
        <v>708</v>
      </c>
      <c r="B649" s="5">
        <v>33</v>
      </c>
      <c r="C649" t="str" cm="1">
        <f t="array" ref="C649">_xlfn.IFS(B649&lt;=30,"Young",B649&lt;=50,"Middle-aged",B649&gt;50,"Older")</f>
        <v>Middle-aged</v>
      </c>
      <c r="D649" s="5" t="s">
        <v>19</v>
      </c>
      <c r="E649" s="5" t="s">
        <v>11</v>
      </c>
      <c r="F649" s="5">
        <f t="shared" si="43"/>
        <v>0</v>
      </c>
      <c r="G649" s="5">
        <f t="shared" si="40"/>
        <v>0</v>
      </c>
      <c r="H649" s="5">
        <f t="shared" si="41"/>
        <v>0</v>
      </c>
      <c r="I649" s="5">
        <f t="shared" si="42"/>
        <v>0</v>
      </c>
      <c r="J649" s="5">
        <v>50</v>
      </c>
      <c r="K649" s="5" t="s">
        <v>51</v>
      </c>
      <c r="L649" s="5">
        <v>25</v>
      </c>
      <c r="M649" t="str" cm="1">
        <f t="array" ref="M649">_xlfn.IFS(L649&lt;=14,"Short",L649&lt;=30,"Medium",L649&lt;=45,"Long",L649&lt;=60,"Very Long")</f>
        <v>Medium</v>
      </c>
      <c r="N649" s="5" t="s">
        <v>52</v>
      </c>
      <c r="O649" s="6">
        <v>6.6</v>
      </c>
    </row>
    <row r="650" spans="1:15" x14ac:dyDescent="0.25">
      <c r="A650" s="1" t="s">
        <v>709</v>
      </c>
      <c r="B650" s="2">
        <v>43</v>
      </c>
      <c r="C650" t="str" cm="1">
        <f t="array" ref="C650">_xlfn.IFS(B650&lt;=30,"Young",B650&lt;=50,"Middle-aged",B650&gt;50,"Older")</f>
        <v>Middle-aged</v>
      </c>
      <c r="D650" s="2" t="s">
        <v>10</v>
      </c>
      <c r="E650" s="2" t="s">
        <v>33</v>
      </c>
      <c r="F650" s="2">
        <f t="shared" si="43"/>
        <v>0</v>
      </c>
      <c r="G650" s="2">
        <f t="shared" si="40"/>
        <v>0</v>
      </c>
      <c r="H650" s="2">
        <f t="shared" si="41"/>
        <v>0</v>
      </c>
      <c r="I650" s="2">
        <f t="shared" si="42"/>
        <v>1</v>
      </c>
      <c r="J650" s="2">
        <v>850</v>
      </c>
      <c r="K650" s="2" t="s">
        <v>47</v>
      </c>
      <c r="L650" s="2">
        <v>39</v>
      </c>
      <c r="M650" t="str" cm="1">
        <f t="array" ref="M650">_xlfn.IFS(L650&lt;=14,"Short",L650&lt;=30,"Medium",L650&lt;=45,"Long",L650&lt;=60,"Very Long")</f>
        <v>Long</v>
      </c>
      <c r="N650" s="2" t="s">
        <v>225</v>
      </c>
      <c r="O650" s="3">
        <v>6.8</v>
      </c>
    </row>
    <row r="651" spans="1:15" x14ac:dyDescent="0.25">
      <c r="A651" s="4" t="s">
        <v>710</v>
      </c>
      <c r="B651" s="5">
        <v>43</v>
      </c>
      <c r="C651" t="str" cm="1">
        <f t="array" ref="C651">_xlfn.IFS(B651&lt;=30,"Young",B651&lt;=50,"Middle-aged",B651&gt;50,"Older")</f>
        <v>Middle-aged</v>
      </c>
      <c r="D651" s="5" t="s">
        <v>10</v>
      </c>
      <c r="E651" s="5" t="s">
        <v>20</v>
      </c>
      <c r="F651" s="5">
        <f t="shared" si="43"/>
        <v>0</v>
      </c>
      <c r="G651" s="5">
        <f t="shared" si="40"/>
        <v>1</v>
      </c>
      <c r="H651" s="5">
        <f t="shared" si="41"/>
        <v>0</v>
      </c>
      <c r="I651" s="5">
        <f t="shared" si="42"/>
        <v>0</v>
      </c>
      <c r="J651" s="5">
        <v>500</v>
      </c>
      <c r="K651" s="5" t="s">
        <v>21</v>
      </c>
      <c r="L651" s="5">
        <v>57</v>
      </c>
      <c r="M651" t="str" cm="1">
        <f t="array" ref="M651">_xlfn.IFS(L651&lt;=14,"Short",L651&lt;=30,"Medium",L651&lt;=45,"Long",L651&lt;=60,"Very Long")</f>
        <v>Very Long</v>
      </c>
      <c r="N651" s="5" t="s">
        <v>22</v>
      </c>
      <c r="O651" s="6">
        <v>7.5</v>
      </c>
    </row>
    <row r="652" spans="1:15" x14ac:dyDescent="0.25">
      <c r="A652" s="1" t="s">
        <v>711</v>
      </c>
      <c r="B652" s="2">
        <v>65</v>
      </c>
      <c r="C652" t="str" cm="1">
        <f t="array" ref="C652">_xlfn.IFS(B652&lt;=30,"Young",B652&lt;=50,"Middle-aged",B652&gt;50,"Older")</f>
        <v>Older</v>
      </c>
      <c r="D652" s="2" t="s">
        <v>19</v>
      </c>
      <c r="E652" s="2" t="s">
        <v>11</v>
      </c>
      <c r="F652" s="2">
        <f t="shared" si="43"/>
        <v>0</v>
      </c>
      <c r="G652" s="2">
        <f t="shared" si="40"/>
        <v>0</v>
      </c>
      <c r="H652" s="2">
        <f t="shared" si="41"/>
        <v>0</v>
      </c>
      <c r="I652" s="2">
        <f t="shared" si="42"/>
        <v>0</v>
      </c>
      <c r="J652" s="2">
        <v>100</v>
      </c>
      <c r="K652" s="2" t="s">
        <v>12</v>
      </c>
      <c r="L652" s="2">
        <v>57</v>
      </c>
      <c r="M652" t="str" cm="1">
        <f t="array" ref="M652">_xlfn.IFS(L652&lt;=14,"Short",L652&lt;=30,"Medium",L652&lt;=45,"Long",L652&lt;=60,"Very Long")</f>
        <v>Very Long</v>
      </c>
      <c r="N652" s="2" t="s">
        <v>13</v>
      </c>
      <c r="O652" s="3">
        <v>7.1</v>
      </c>
    </row>
    <row r="653" spans="1:15" x14ac:dyDescent="0.25">
      <c r="A653" s="4" t="s">
        <v>712</v>
      </c>
      <c r="B653" s="5">
        <v>38</v>
      </c>
      <c r="C653" t="str" cm="1">
        <f t="array" ref="C653">_xlfn.IFS(B653&lt;=30,"Young",B653&lt;=50,"Middle-aged",B653&gt;50,"Older")</f>
        <v>Middle-aged</v>
      </c>
      <c r="D653" s="5" t="s">
        <v>19</v>
      </c>
      <c r="E653" s="5" t="s">
        <v>33</v>
      </c>
      <c r="F653" s="5">
        <f t="shared" si="43"/>
        <v>0</v>
      </c>
      <c r="G653" s="5">
        <f t="shared" si="40"/>
        <v>0</v>
      </c>
      <c r="H653" s="5">
        <f t="shared" si="41"/>
        <v>0</v>
      </c>
      <c r="I653" s="5">
        <f t="shared" si="42"/>
        <v>1</v>
      </c>
      <c r="J653" s="5">
        <v>50</v>
      </c>
      <c r="K653" s="5" t="s">
        <v>49</v>
      </c>
      <c r="L653" s="5">
        <v>50</v>
      </c>
      <c r="M653" t="str" cm="1">
        <f t="array" ref="M653">_xlfn.IFS(L653&lt;=14,"Short",L653&lt;=30,"Medium",L653&lt;=45,"Long",L653&lt;=60,"Very Long")</f>
        <v>Very Long</v>
      </c>
      <c r="N653" s="5" t="s">
        <v>30</v>
      </c>
      <c r="O653" s="6">
        <v>3.7</v>
      </c>
    </row>
    <row r="654" spans="1:15" x14ac:dyDescent="0.25">
      <c r="A654" s="1" t="s">
        <v>713</v>
      </c>
      <c r="B654" s="2">
        <v>56</v>
      </c>
      <c r="C654" t="str" cm="1">
        <f t="array" ref="C654">_xlfn.IFS(B654&lt;=30,"Young",B654&lt;=50,"Middle-aged",B654&gt;50,"Older")</f>
        <v>Older</v>
      </c>
      <c r="D654" s="2" t="s">
        <v>19</v>
      </c>
      <c r="E654" s="2" t="s">
        <v>20</v>
      </c>
      <c r="F654" s="2">
        <f t="shared" si="43"/>
        <v>0</v>
      </c>
      <c r="G654" s="2">
        <f t="shared" si="40"/>
        <v>1</v>
      </c>
      <c r="H654" s="2">
        <f t="shared" si="41"/>
        <v>0</v>
      </c>
      <c r="I654" s="2">
        <f t="shared" si="42"/>
        <v>0</v>
      </c>
      <c r="J654" s="2">
        <v>50</v>
      </c>
      <c r="K654" s="2" t="s">
        <v>55</v>
      </c>
      <c r="L654" s="2">
        <v>56</v>
      </c>
      <c r="M654" t="str" cm="1">
        <f t="array" ref="M654">_xlfn.IFS(L654&lt;=14,"Short",L654&lt;=30,"Medium",L654&lt;=45,"Long",L654&lt;=60,"Very Long")</f>
        <v>Very Long</v>
      </c>
      <c r="N654" s="2" t="s">
        <v>78</v>
      </c>
      <c r="O654" s="3">
        <v>6.7</v>
      </c>
    </row>
    <row r="655" spans="1:15" x14ac:dyDescent="0.25">
      <c r="A655" s="4" t="s">
        <v>714</v>
      </c>
      <c r="B655" s="5">
        <v>53</v>
      </c>
      <c r="C655" t="str" cm="1">
        <f t="array" ref="C655">_xlfn.IFS(B655&lt;=30,"Young",B655&lt;=50,"Middle-aged",B655&gt;50,"Older")</f>
        <v>Older</v>
      </c>
      <c r="D655" s="5" t="s">
        <v>19</v>
      </c>
      <c r="E655" s="5" t="s">
        <v>24</v>
      </c>
      <c r="F655" s="5">
        <f t="shared" si="43"/>
        <v>0</v>
      </c>
      <c r="G655" s="5">
        <f t="shared" si="40"/>
        <v>0</v>
      </c>
      <c r="H655" s="5">
        <f t="shared" si="41"/>
        <v>1</v>
      </c>
      <c r="I655" s="5">
        <f t="shared" si="42"/>
        <v>0</v>
      </c>
      <c r="J655" s="5">
        <v>850</v>
      </c>
      <c r="K655" s="5" t="s">
        <v>25</v>
      </c>
      <c r="L655" s="5">
        <v>18</v>
      </c>
      <c r="M655" t="str" cm="1">
        <f t="array" ref="M655">_xlfn.IFS(L655&lt;=14,"Short",L655&lt;=30,"Medium",L655&lt;=45,"Long",L655&lt;=60,"Very Long")</f>
        <v>Medium</v>
      </c>
      <c r="N655" s="5" t="s">
        <v>13</v>
      </c>
      <c r="O655" s="6">
        <v>5.7</v>
      </c>
    </row>
    <row r="656" spans="1:15" x14ac:dyDescent="0.25">
      <c r="A656" s="1" t="s">
        <v>715</v>
      </c>
      <c r="B656" s="2">
        <v>50</v>
      </c>
      <c r="C656" t="str" cm="1">
        <f t="array" ref="C656">_xlfn.IFS(B656&lt;=30,"Young",B656&lt;=50,"Middle-aged",B656&gt;50,"Older")</f>
        <v>Middle-aged</v>
      </c>
      <c r="D656" s="2" t="s">
        <v>10</v>
      </c>
      <c r="E656" s="2" t="s">
        <v>33</v>
      </c>
      <c r="F656" s="2">
        <f t="shared" si="43"/>
        <v>0</v>
      </c>
      <c r="G656" s="2">
        <f t="shared" si="40"/>
        <v>0</v>
      </c>
      <c r="H656" s="2">
        <f t="shared" si="41"/>
        <v>0</v>
      </c>
      <c r="I656" s="2">
        <f t="shared" si="42"/>
        <v>1</v>
      </c>
      <c r="J656" s="2">
        <v>500</v>
      </c>
      <c r="K656" s="2" t="s">
        <v>49</v>
      </c>
      <c r="L656" s="2">
        <v>40</v>
      </c>
      <c r="M656" t="str" cm="1">
        <f t="array" ref="M656">_xlfn.IFS(L656&lt;=14,"Short",L656&lt;=30,"Medium",L656&lt;=45,"Long",L656&lt;=60,"Very Long")</f>
        <v>Long</v>
      </c>
      <c r="N656" s="2" t="s">
        <v>91</v>
      </c>
      <c r="O656" s="3">
        <v>7.3</v>
      </c>
    </row>
    <row r="657" spans="1:15" x14ac:dyDescent="0.25">
      <c r="A657" s="4" t="s">
        <v>716</v>
      </c>
      <c r="B657" s="5">
        <v>79</v>
      </c>
      <c r="C657" t="str" cm="1">
        <f t="array" ref="C657">_xlfn.IFS(B657&lt;=30,"Young",B657&lt;=50,"Middle-aged",B657&gt;50,"Older")</f>
        <v>Older</v>
      </c>
      <c r="D657" s="5" t="s">
        <v>10</v>
      </c>
      <c r="E657" s="5" t="s">
        <v>24</v>
      </c>
      <c r="F657" s="5">
        <f t="shared" si="43"/>
        <v>0</v>
      </c>
      <c r="G657" s="5">
        <f t="shared" si="40"/>
        <v>0</v>
      </c>
      <c r="H657" s="5">
        <f t="shared" si="41"/>
        <v>1</v>
      </c>
      <c r="I657" s="5">
        <f t="shared" si="42"/>
        <v>0</v>
      </c>
      <c r="J657" s="5">
        <v>50</v>
      </c>
      <c r="K657" s="5" t="s">
        <v>59</v>
      </c>
      <c r="L657" s="5">
        <v>16</v>
      </c>
      <c r="M657" t="str" cm="1">
        <f t="array" ref="M657">_xlfn.IFS(L657&lt;=14,"Short",L657&lt;=30,"Medium",L657&lt;=45,"Long",L657&lt;=60,"Very Long")</f>
        <v>Medium</v>
      </c>
      <c r="N657" s="5" t="s">
        <v>60</v>
      </c>
      <c r="O657" s="6">
        <v>10</v>
      </c>
    </row>
    <row r="658" spans="1:15" x14ac:dyDescent="0.25">
      <c r="A658" s="1" t="s">
        <v>717</v>
      </c>
      <c r="B658" s="2">
        <v>47</v>
      </c>
      <c r="C658" t="str" cm="1">
        <f t="array" ref="C658">_xlfn.IFS(B658&lt;=30,"Young",B658&lt;=50,"Middle-aged",B658&gt;50,"Older")</f>
        <v>Middle-aged</v>
      </c>
      <c r="D658" s="2" t="s">
        <v>19</v>
      </c>
      <c r="E658" s="2" t="s">
        <v>24</v>
      </c>
      <c r="F658" s="2">
        <f t="shared" si="43"/>
        <v>0</v>
      </c>
      <c r="G658" s="2">
        <f t="shared" si="40"/>
        <v>0</v>
      </c>
      <c r="H658" s="2">
        <f t="shared" si="41"/>
        <v>1</v>
      </c>
      <c r="I658" s="2">
        <f t="shared" si="42"/>
        <v>0</v>
      </c>
      <c r="J658" s="2">
        <v>100</v>
      </c>
      <c r="K658" s="2" t="s">
        <v>25</v>
      </c>
      <c r="L658" s="2">
        <v>21</v>
      </c>
      <c r="M658" t="str" cm="1">
        <f t="array" ref="M658">_xlfn.IFS(L658&lt;=14,"Short",L658&lt;=30,"Medium",L658&lt;=45,"Long",L658&lt;=60,"Very Long")</f>
        <v>Medium</v>
      </c>
      <c r="N658" s="2" t="s">
        <v>26</v>
      </c>
      <c r="O658" s="3">
        <v>7.6</v>
      </c>
    </row>
    <row r="659" spans="1:15" x14ac:dyDescent="0.25">
      <c r="A659" s="4" t="s">
        <v>718</v>
      </c>
      <c r="B659" s="5">
        <v>54</v>
      </c>
      <c r="C659" t="str" cm="1">
        <f t="array" ref="C659">_xlfn.IFS(B659&lt;=30,"Young",B659&lt;=50,"Middle-aged",B659&gt;50,"Older")</f>
        <v>Older</v>
      </c>
      <c r="D659" s="5" t="s">
        <v>10</v>
      </c>
      <c r="E659" s="5" t="s">
        <v>15</v>
      </c>
      <c r="F659" s="5">
        <f t="shared" si="43"/>
        <v>1</v>
      </c>
      <c r="G659" s="5">
        <f t="shared" si="40"/>
        <v>0</v>
      </c>
      <c r="H659" s="5">
        <f t="shared" si="41"/>
        <v>0</v>
      </c>
      <c r="I659" s="5">
        <f t="shared" si="42"/>
        <v>0</v>
      </c>
      <c r="J659" s="5">
        <v>850</v>
      </c>
      <c r="K659" s="5" t="s">
        <v>16</v>
      </c>
      <c r="L659" s="5">
        <v>43</v>
      </c>
      <c r="M659" t="str" cm="1">
        <f t="array" ref="M659">_xlfn.IFS(L659&lt;=14,"Short",L659&lt;=30,"Medium",L659&lt;=45,"Long",L659&lt;=60,"Very Long")</f>
        <v>Long</v>
      </c>
      <c r="N659" s="5" t="s">
        <v>308</v>
      </c>
      <c r="O659" s="6">
        <v>6.5</v>
      </c>
    </row>
    <row r="660" spans="1:15" x14ac:dyDescent="0.25">
      <c r="A660" s="1" t="s">
        <v>719</v>
      </c>
      <c r="B660" s="2">
        <v>40</v>
      </c>
      <c r="C660" t="str" cm="1">
        <f t="array" ref="C660">_xlfn.IFS(B660&lt;=30,"Young",B660&lt;=50,"Middle-aged",B660&gt;50,"Older")</f>
        <v>Middle-aged</v>
      </c>
      <c r="D660" s="2" t="s">
        <v>10</v>
      </c>
      <c r="E660" s="2" t="s">
        <v>11</v>
      </c>
      <c r="F660" s="2">
        <f t="shared" si="43"/>
        <v>0</v>
      </c>
      <c r="G660" s="2">
        <f t="shared" si="40"/>
        <v>0</v>
      </c>
      <c r="H660" s="2">
        <f t="shared" si="41"/>
        <v>0</v>
      </c>
      <c r="I660" s="2">
        <f t="shared" si="42"/>
        <v>0</v>
      </c>
      <c r="J660" s="2">
        <v>250</v>
      </c>
      <c r="K660" s="2" t="s">
        <v>51</v>
      </c>
      <c r="L660" s="2">
        <v>13</v>
      </c>
      <c r="M660" t="str" cm="1">
        <f t="array" ref="M660">_xlfn.IFS(L660&lt;=14,"Short",L660&lt;=30,"Medium",L660&lt;=45,"Long",L660&lt;=60,"Very Long")</f>
        <v>Short</v>
      </c>
      <c r="N660" s="2" t="s">
        <v>41</v>
      </c>
      <c r="O660" s="3">
        <v>8.4</v>
      </c>
    </row>
    <row r="661" spans="1:15" x14ac:dyDescent="0.25">
      <c r="A661" s="4" t="s">
        <v>720</v>
      </c>
      <c r="B661" s="5">
        <v>75</v>
      </c>
      <c r="C661" t="str" cm="1">
        <f t="array" ref="C661">_xlfn.IFS(B661&lt;=30,"Young",B661&lt;=50,"Middle-aged",B661&gt;50,"Older")</f>
        <v>Older</v>
      </c>
      <c r="D661" s="5" t="s">
        <v>10</v>
      </c>
      <c r="E661" s="5" t="s">
        <v>33</v>
      </c>
      <c r="F661" s="5">
        <f t="shared" si="43"/>
        <v>0</v>
      </c>
      <c r="G661" s="5">
        <f t="shared" si="40"/>
        <v>0</v>
      </c>
      <c r="H661" s="5">
        <f t="shared" si="41"/>
        <v>0</v>
      </c>
      <c r="I661" s="5">
        <f t="shared" si="42"/>
        <v>1</v>
      </c>
      <c r="J661" s="5">
        <v>100</v>
      </c>
      <c r="K661" s="5" t="s">
        <v>34</v>
      </c>
      <c r="L661" s="5">
        <v>39</v>
      </c>
      <c r="M661" t="str" cm="1">
        <f t="array" ref="M661">_xlfn.IFS(L661&lt;=14,"Short",L661&lt;=30,"Medium",L661&lt;=45,"Long",L661&lt;=60,"Very Long")</f>
        <v>Long</v>
      </c>
      <c r="N661" s="5" t="s">
        <v>35</v>
      </c>
      <c r="O661" s="6">
        <v>7.7</v>
      </c>
    </row>
    <row r="662" spans="1:15" x14ac:dyDescent="0.25">
      <c r="A662" s="1" t="s">
        <v>721</v>
      </c>
      <c r="B662" s="2">
        <v>27</v>
      </c>
      <c r="C662" t="str" cm="1">
        <f t="array" ref="C662">_xlfn.IFS(B662&lt;=30,"Young",B662&lt;=50,"Middle-aged",B662&gt;50,"Older")</f>
        <v>Young</v>
      </c>
      <c r="D662" s="2" t="s">
        <v>19</v>
      </c>
      <c r="E662" s="2" t="s">
        <v>24</v>
      </c>
      <c r="F662" s="2">
        <f t="shared" si="43"/>
        <v>0</v>
      </c>
      <c r="G662" s="2">
        <f t="shared" si="40"/>
        <v>0</v>
      </c>
      <c r="H662" s="2">
        <f t="shared" si="41"/>
        <v>1</v>
      </c>
      <c r="I662" s="2">
        <f t="shared" si="42"/>
        <v>0</v>
      </c>
      <c r="J662" s="2">
        <v>500</v>
      </c>
      <c r="K662" s="2" t="s">
        <v>39</v>
      </c>
      <c r="L662" s="2">
        <v>17</v>
      </c>
      <c r="M662" t="str" cm="1">
        <f t="array" ref="M662">_xlfn.IFS(L662&lt;=14,"Short",L662&lt;=30,"Medium",L662&lt;=45,"Long",L662&lt;=60,"Very Long")</f>
        <v>Medium</v>
      </c>
      <c r="N662" s="2" t="s">
        <v>85</v>
      </c>
      <c r="O662" s="3">
        <v>7.6</v>
      </c>
    </row>
    <row r="663" spans="1:15" x14ac:dyDescent="0.25">
      <c r="A663" s="4" t="s">
        <v>722</v>
      </c>
      <c r="B663" s="5">
        <v>71</v>
      </c>
      <c r="C663" t="str" cm="1">
        <f t="array" ref="C663">_xlfn.IFS(B663&lt;=30,"Young",B663&lt;=50,"Middle-aged",B663&gt;50,"Older")</f>
        <v>Older</v>
      </c>
      <c r="D663" s="5" t="s">
        <v>10</v>
      </c>
      <c r="E663" s="5" t="s">
        <v>15</v>
      </c>
      <c r="F663" s="5">
        <f t="shared" si="43"/>
        <v>1</v>
      </c>
      <c r="G663" s="5">
        <f t="shared" si="40"/>
        <v>0</v>
      </c>
      <c r="H663" s="5">
        <f t="shared" si="41"/>
        <v>0</v>
      </c>
      <c r="I663" s="5">
        <f t="shared" si="42"/>
        <v>0</v>
      </c>
      <c r="J663" s="5">
        <v>100</v>
      </c>
      <c r="K663" s="5" t="s">
        <v>16</v>
      </c>
      <c r="L663" s="5">
        <v>19</v>
      </c>
      <c r="M663" t="str" cm="1">
        <f t="array" ref="M663">_xlfn.IFS(L663&lt;=14,"Short",L663&lt;=30,"Medium",L663&lt;=45,"Long",L663&lt;=60,"Very Long")</f>
        <v>Medium</v>
      </c>
      <c r="N663" s="5" t="s">
        <v>308</v>
      </c>
      <c r="O663" s="6">
        <v>7.9</v>
      </c>
    </row>
    <row r="664" spans="1:15" x14ac:dyDescent="0.25">
      <c r="A664" s="1" t="s">
        <v>723</v>
      </c>
      <c r="B664" s="2">
        <v>22</v>
      </c>
      <c r="C664" t="str" cm="1">
        <f t="array" ref="C664">_xlfn.IFS(B664&lt;=30,"Young",B664&lt;=50,"Middle-aged",B664&gt;50,"Older")</f>
        <v>Young</v>
      </c>
      <c r="D664" s="2" t="s">
        <v>19</v>
      </c>
      <c r="E664" s="2" t="s">
        <v>20</v>
      </c>
      <c r="F664" s="2">
        <f t="shared" si="43"/>
        <v>0</v>
      </c>
      <c r="G664" s="2">
        <f t="shared" si="40"/>
        <v>1</v>
      </c>
      <c r="H664" s="2">
        <f t="shared" si="41"/>
        <v>0</v>
      </c>
      <c r="I664" s="2">
        <f t="shared" si="42"/>
        <v>0</v>
      </c>
      <c r="J664" s="2">
        <v>50</v>
      </c>
      <c r="K664" s="2" t="s">
        <v>55</v>
      </c>
      <c r="L664" s="2">
        <v>22</v>
      </c>
      <c r="M664" t="str" cm="1">
        <f t="array" ref="M664">_xlfn.IFS(L664&lt;=14,"Short",L664&lt;=30,"Medium",L664&lt;=45,"Long",L664&lt;=60,"Very Long")</f>
        <v>Medium</v>
      </c>
      <c r="N664" s="2" t="s">
        <v>148</v>
      </c>
      <c r="O664" s="3">
        <v>10</v>
      </c>
    </row>
    <row r="665" spans="1:15" x14ac:dyDescent="0.25">
      <c r="A665" s="4" t="s">
        <v>724</v>
      </c>
      <c r="B665" s="5">
        <v>53</v>
      </c>
      <c r="C665" t="str" cm="1">
        <f t="array" ref="C665">_xlfn.IFS(B665&lt;=30,"Young",B665&lt;=50,"Middle-aged",B665&gt;50,"Older")</f>
        <v>Older</v>
      </c>
      <c r="D665" s="5" t="s">
        <v>10</v>
      </c>
      <c r="E665" s="5" t="s">
        <v>33</v>
      </c>
      <c r="F665" s="5">
        <f t="shared" si="43"/>
        <v>0</v>
      </c>
      <c r="G665" s="5">
        <f t="shared" si="40"/>
        <v>0</v>
      </c>
      <c r="H665" s="5">
        <f t="shared" si="41"/>
        <v>0</v>
      </c>
      <c r="I665" s="5">
        <f t="shared" si="42"/>
        <v>1</v>
      </c>
      <c r="J665" s="5">
        <v>250</v>
      </c>
      <c r="K665" s="5" t="s">
        <v>34</v>
      </c>
      <c r="L665" s="5">
        <v>55</v>
      </c>
      <c r="M665" t="str" cm="1">
        <f t="array" ref="M665">_xlfn.IFS(L665&lt;=14,"Short",L665&lt;=30,"Medium",L665&lt;=45,"Long",L665&lt;=60,"Very Long")</f>
        <v>Very Long</v>
      </c>
      <c r="N665" s="5" t="s">
        <v>97</v>
      </c>
      <c r="O665" s="6">
        <v>5.3</v>
      </c>
    </row>
    <row r="666" spans="1:15" x14ac:dyDescent="0.25">
      <c r="A666" s="1" t="s">
        <v>725</v>
      </c>
      <c r="B666" s="2">
        <v>51</v>
      </c>
      <c r="C666" t="str" cm="1">
        <f t="array" ref="C666">_xlfn.IFS(B666&lt;=30,"Young",B666&lt;=50,"Middle-aged",B666&gt;50,"Older")</f>
        <v>Older</v>
      </c>
      <c r="D666" s="2" t="s">
        <v>10</v>
      </c>
      <c r="E666" s="2" t="s">
        <v>24</v>
      </c>
      <c r="F666" s="2">
        <f t="shared" si="43"/>
        <v>0</v>
      </c>
      <c r="G666" s="2">
        <f t="shared" si="40"/>
        <v>0</v>
      </c>
      <c r="H666" s="2">
        <f t="shared" si="41"/>
        <v>1</v>
      </c>
      <c r="I666" s="2">
        <f t="shared" si="42"/>
        <v>0</v>
      </c>
      <c r="J666" s="2">
        <v>500</v>
      </c>
      <c r="K666" s="2" t="s">
        <v>25</v>
      </c>
      <c r="L666" s="2">
        <v>37</v>
      </c>
      <c r="M666" t="str" cm="1">
        <f t="array" ref="M666">_xlfn.IFS(L666&lt;=14,"Short",L666&lt;=30,"Medium",L666&lt;=45,"Long",L666&lt;=60,"Very Long")</f>
        <v>Long</v>
      </c>
      <c r="N666" s="2" t="s">
        <v>26</v>
      </c>
      <c r="O666" s="3">
        <v>7.7</v>
      </c>
    </row>
    <row r="667" spans="1:15" x14ac:dyDescent="0.25">
      <c r="A667" s="4" t="s">
        <v>726</v>
      </c>
      <c r="B667" s="5">
        <v>69</v>
      </c>
      <c r="C667" t="str" cm="1">
        <f t="array" ref="C667">_xlfn.IFS(B667&lt;=30,"Young",B667&lt;=50,"Middle-aged",B667&gt;50,"Older")</f>
        <v>Older</v>
      </c>
      <c r="D667" s="5" t="s">
        <v>10</v>
      </c>
      <c r="E667" s="5" t="s">
        <v>11</v>
      </c>
      <c r="F667" s="5">
        <f t="shared" si="43"/>
        <v>0</v>
      </c>
      <c r="G667" s="5">
        <f t="shared" si="40"/>
        <v>0</v>
      </c>
      <c r="H667" s="5">
        <f t="shared" si="41"/>
        <v>0</v>
      </c>
      <c r="I667" s="5">
        <f t="shared" si="42"/>
        <v>0</v>
      </c>
      <c r="J667" s="5">
        <v>500</v>
      </c>
      <c r="K667" s="5" t="s">
        <v>12</v>
      </c>
      <c r="L667" s="5">
        <v>10</v>
      </c>
      <c r="M667" t="str" cm="1">
        <f t="array" ref="M667">_xlfn.IFS(L667&lt;=14,"Short",L667&lt;=30,"Medium",L667&lt;=45,"Long",L667&lt;=60,"Very Long")</f>
        <v>Short</v>
      </c>
      <c r="N667" s="5" t="s">
        <v>30</v>
      </c>
      <c r="O667" s="6">
        <v>5.6</v>
      </c>
    </row>
    <row r="668" spans="1:15" x14ac:dyDescent="0.25">
      <c r="A668" s="1" t="s">
        <v>727</v>
      </c>
      <c r="B668" s="2">
        <v>48</v>
      </c>
      <c r="C668" t="str" cm="1">
        <f t="array" ref="C668">_xlfn.IFS(B668&lt;=30,"Young",B668&lt;=50,"Middle-aged",B668&gt;50,"Older")</f>
        <v>Middle-aged</v>
      </c>
      <c r="D668" s="2" t="s">
        <v>19</v>
      </c>
      <c r="E668" s="2" t="s">
        <v>15</v>
      </c>
      <c r="F668" s="2">
        <f t="shared" si="43"/>
        <v>1</v>
      </c>
      <c r="G668" s="2">
        <f t="shared" si="40"/>
        <v>0</v>
      </c>
      <c r="H668" s="2">
        <f t="shared" si="41"/>
        <v>0</v>
      </c>
      <c r="I668" s="2">
        <f t="shared" si="42"/>
        <v>0</v>
      </c>
      <c r="J668" s="2">
        <v>100</v>
      </c>
      <c r="K668" s="2" t="s">
        <v>44</v>
      </c>
      <c r="L668" s="2">
        <v>31</v>
      </c>
      <c r="M668" t="str" cm="1">
        <f t="array" ref="M668">_xlfn.IFS(L668&lt;=14,"Short",L668&lt;=30,"Medium",L668&lt;=45,"Long",L668&lt;=60,"Very Long")</f>
        <v>Long</v>
      </c>
      <c r="N668" s="2" t="s">
        <v>101</v>
      </c>
      <c r="O668" s="3">
        <v>7.8</v>
      </c>
    </row>
    <row r="669" spans="1:15" x14ac:dyDescent="0.25">
      <c r="A669" s="4" t="s">
        <v>728</v>
      </c>
      <c r="B669" s="5">
        <v>27</v>
      </c>
      <c r="C669" t="str" cm="1">
        <f t="array" ref="C669">_xlfn.IFS(B669&lt;=30,"Young",B669&lt;=50,"Middle-aged",B669&gt;50,"Older")</f>
        <v>Young</v>
      </c>
      <c r="D669" s="5" t="s">
        <v>10</v>
      </c>
      <c r="E669" s="5" t="s">
        <v>24</v>
      </c>
      <c r="F669" s="5">
        <f t="shared" si="43"/>
        <v>0</v>
      </c>
      <c r="G669" s="5">
        <f t="shared" si="40"/>
        <v>0</v>
      </c>
      <c r="H669" s="5">
        <f t="shared" si="41"/>
        <v>1</v>
      </c>
      <c r="I669" s="5">
        <f t="shared" si="42"/>
        <v>0</v>
      </c>
      <c r="J669" s="5">
        <v>850</v>
      </c>
      <c r="K669" s="5" t="s">
        <v>25</v>
      </c>
      <c r="L669" s="5">
        <v>27</v>
      </c>
      <c r="M669" t="str" cm="1">
        <f t="array" ref="M669">_xlfn.IFS(L669&lt;=14,"Short",L669&lt;=30,"Medium",L669&lt;=45,"Long",L669&lt;=60,"Very Long")</f>
        <v>Medium</v>
      </c>
      <c r="N669" s="5" t="s">
        <v>26</v>
      </c>
      <c r="O669" s="6">
        <v>5.6</v>
      </c>
    </row>
    <row r="670" spans="1:15" x14ac:dyDescent="0.25">
      <c r="A670" s="1" t="s">
        <v>729</v>
      </c>
      <c r="B670" s="2">
        <v>75</v>
      </c>
      <c r="C670" t="str" cm="1">
        <f t="array" ref="C670">_xlfn.IFS(B670&lt;=30,"Young",B670&lt;=50,"Middle-aged",B670&gt;50,"Older")</f>
        <v>Older</v>
      </c>
      <c r="D670" s="2" t="s">
        <v>19</v>
      </c>
      <c r="E670" s="2" t="s">
        <v>11</v>
      </c>
      <c r="F670" s="2">
        <f t="shared" si="43"/>
        <v>0</v>
      </c>
      <c r="G670" s="2">
        <f t="shared" si="40"/>
        <v>0</v>
      </c>
      <c r="H670" s="2">
        <f t="shared" si="41"/>
        <v>0</v>
      </c>
      <c r="I670" s="2">
        <f t="shared" si="42"/>
        <v>0</v>
      </c>
      <c r="J670" s="2">
        <v>500</v>
      </c>
      <c r="K670" s="2" t="s">
        <v>51</v>
      </c>
      <c r="L670" s="2">
        <v>31</v>
      </c>
      <c r="M670" t="str" cm="1">
        <f t="array" ref="M670">_xlfn.IFS(L670&lt;=14,"Short",L670&lt;=30,"Medium",L670&lt;=45,"Long",L670&lt;=60,"Very Long")</f>
        <v>Long</v>
      </c>
      <c r="N670" s="2" t="s">
        <v>13</v>
      </c>
      <c r="O670" s="3">
        <v>6.4</v>
      </c>
    </row>
    <row r="671" spans="1:15" x14ac:dyDescent="0.25">
      <c r="A671" s="4" t="s">
        <v>730</v>
      </c>
      <c r="B671" s="5">
        <v>36</v>
      </c>
      <c r="C671" t="str" cm="1">
        <f t="array" ref="C671">_xlfn.IFS(B671&lt;=30,"Young",B671&lt;=50,"Middle-aged",B671&gt;50,"Older")</f>
        <v>Middle-aged</v>
      </c>
      <c r="D671" s="5" t="s">
        <v>19</v>
      </c>
      <c r="E671" s="5" t="s">
        <v>24</v>
      </c>
      <c r="F671" s="5">
        <f t="shared" si="43"/>
        <v>0</v>
      </c>
      <c r="G671" s="5">
        <f t="shared" si="40"/>
        <v>0</v>
      </c>
      <c r="H671" s="5">
        <f t="shared" si="41"/>
        <v>1</v>
      </c>
      <c r="I671" s="5">
        <f t="shared" si="42"/>
        <v>0</v>
      </c>
      <c r="J671" s="5">
        <v>850</v>
      </c>
      <c r="K671" s="5" t="s">
        <v>59</v>
      </c>
      <c r="L671" s="5">
        <v>38</v>
      </c>
      <c r="M671" t="str" cm="1">
        <f t="array" ref="M671">_xlfn.IFS(L671&lt;=14,"Short",L671&lt;=30,"Medium",L671&lt;=45,"Long",L671&lt;=60,"Very Long")</f>
        <v>Long</v>
      </c>
      <c r="N671" s="5" t="s">
        <v>74</v>
      </c>
      <c r="O671" s="6">
        <v>6.6</v>
      </c>
    </row>
    <row r="672" spans="1:15" x14ac:dyDescent="0.25">
      <c r="A672" s="1" t="s">
        <v>731</v>
      </c>
      <c r="B672" s="2">
        <v>75</v>
      </c>
      <c r="C672" t="str" cm="1">
        <f t="array" ref="C672">_xlfn.IFS(B672&lt;=30,"Young",B672&lt;=50,"Middle-aged",B672&gt;50,"Older")</f>
        <v>Older</v>
      </c>
      <c r="D672" s="2" t="s">
        <v>19</v>
      </c>
      <c r="E672" s="2" t="s">
        <v>33</v>
      </c>
      <c r="F672" s="2">
        <f t="shared" si="43"/>
        <v>0</v>
      </c>
      <c r="G672" s="2">
        <f t="shared" si="40"/>
        <v>0</v>
      </c>
      <c r="H672" s="2">
        <f t="shared" si="41"/>
        <v>0</v>
      </c>
      <c r="I672" s="2">
        <f t="shared" si="42"/>
        <v>1</v>
      </c>
      <c r="J672" s="2">
        <v>850</v>
      </c>
      <c r="K672" s="2" t="s">
        <v>34</v>
      </c>
      <c r="L672" s="2">
        <v>50</v>
      </c>
      <c r="M672" t="str" cm="1">
        <f t="array" ref="M672">_xlfn.IFS(L672&lt;=14,"Short",L672&lt;=30,"Medium",L672&lt;=45,"Long",L672&lt;=60,"Very Long")</f>
        <v>Very Long</v>
      </c>
      <c r="N672" s="2" t="s">
        <v>97</v>
      </c>
      <c r="O672" s="3">
        <v>8.5</v>
      </c>
    </row>
    <row r="673" spans="1:15" x14ac:dyDescent="0.25">
      <c r="A673" s="4" t="s">
        <v>732</v>
      </c>
      <c r="B673" s="5">
        <v>49</v>
      </c>
      <c r="C673" t="str" cm="1">
        <f t="array" ref="C673">_xlfn.IFS(B673&lt;=30,"Young",B673&lt;=50,"Middle-aged",B673&gt;50,"Older")</f>
        <v>Middle-aged</v>
      </c>
      <c r="D673" s="5" t="s">
        <v>10</v>
      </c>
      <c r="E673" s="5" t="s">
        <v>33</v>
      </c>
      <c r="F673" s="5">
        <f t="shared" si="43"/>
        <v>0</v>
      </c>
      <c r="G673" s="5">
        <f t="shared" si="40"/>
        <v>0</v>
      </c>
      <c r="H673" s="5">
        <f t="shared" si="41"/>
        <v>0</v>
      </c>
      <c r="I673" s="5">
        <f t="shared" si="42"/>
        <v>1</v>
      </c>
      <c r="J673" s="5">
        <v>850</v>
      </c>
      <c r="K673" s="5" t="s">
        <v>49</v>
      </c>
      <c r="L673" s="5">
        <v>42</v>
      </c>
      <c r="M673" t="str" cm="1">
        <f t="array" ref="M673">_xlfn.IFS(L673&lt;=14,"Short",L673&lt;=30,"Medium",L673&lt;=45,"Long",L673&lt;=60,"Very Long")</f>
        <v>Long</v>
      </c>
      <c r="N673" s="5" t="s">
        <v>30</v>
      </c>
      <c r="O673" s="6">
        <v>8.4</v>
      </c>
    </row>
    <row r="674" spans="1:15" x14ac:dyDescent="0.25">
      <c r="A674" s="1" t="s">
        <v>733</v>
      </c>
      <c r="B674" s="2">
        <v>18</v>
      </c>
      <c r="C674" t="str" cm="1">
        <f t="array" ref="C674">_xlfn.IFS(B674&lt;=30,"Young",B674&lt;=50,"Middle-aged",B674&gt;50,"Older")</f>
        <v>Young</v>
      </c>
      <c r="D674" s="2" t="s">
        <v>10</v>
      </c>
      <c r="E674" s="2" t="s">
        <v>33</v>
      </c>
      <c r="F674" s="2">
        <f t="shared" si="43"/>
        <v>0</v>
      </c>
      <c r="G674" s="2">
        <f t="shared" si="40"/>
        <v>0</v>
      </c>
      <c r="H674" s="2">
        <f t="shared" si="41"/>
        <v>0</v>
      </c>
      <c r="I674" s="2">
        <f t="shared" si="42"/>
        <v>1</v>
      </c>
      <c r="J674" s="2">
        <v>250</v>
      </c>
      <c r="K674" s="2" t="s">
        <v>47</v>
      </c>
      <c r="L674" s="2">
        <v>18</v>
      </c>
      <c r="M674" t="str" cm="1">
        <f t="array" ref="M674">_xlfn.IFS(L674&lt;=14,"Short",L674&lt;=30,"Medium",L674&lt;=45,"Long",L674&lt;=60,"Very Long")</f>
        <v>Medium</v>
      </c>
      <c r="N674" s="2" t="s">
        <v>13</v>
      </c>
      <c r="O674" s="3">
        <v>5.0999999999999996</v>
      </c>
    </row>
    <row r="675" spans="1:15" x14ac:dyDescent="0.25">
      <c r="A675" s="4" t="s">
        <v>734</v>
      </c>
      <c r="B675" s="5">
        <v>73</v>
      </c>
      <c r="C675" t="str" cm="1">
        <f t="array" ref="C675">_xlfn.IFS(B675&lt;=30,"Young",B675&lt;=50,"Middle-aged",B675&gt;50,"Older")</f>
        <v>Older</v>
      </c>
      <c r="D675" s="5" t="s">
        <v>10</v>
      </c>
      <c r="E675" s="5" t="s">
        <v>15</v>
      </c>
      <c r="F675" s="5">
        <f t="shared" si="43"/>
        <v>1</v>
      </c>
      <c r="G675" s="5">
        <f t="shared" si="40"/>
        <v>0</v>
      </c>
      <c r="H675" s="5">
        <f t="shared" si="41"/>
        <v>0</v>
      </c>
      <c r="I675" s="5">
        <f t="shared" si="42"/>
        <v>0</v>
      </c>
      <c r="J675" s="5">
        <v>500</v>
      </c>
      <c r="K675" s="5" t="s">
        <v>63</v>
      </c>
      <c r="L675" s="5">
        <v>40</v>
      </c>
      <c r="M675" t="str" cm="1">
        <f t="array" ref="M675">_xlfn.IFS(L675&lt;=14,"Short",L675&lt;=30,"Medium",L675&lt;=45,"Long",L675&lt;=60,"Very Long")</f>
        <v>Long</v>
      </c>
      <c r="N675" s="5" t="s">
        <v>64</v>
      </c>
      <c r="O675" s="6">
        <v>7.1</v>
      </c>
    </row>
    <row r="676" spans="1:15" x14ac:dyDescent="0.25">
      <c r="A676" s="1" t="s">
        <v>735</v>
      </c>
      <c r="B676" s="2">
        <v>22</v>
      </c>
      <c r="C676" t="str" cm="1">
        <f t="array" ref="C676">_xlfn.IFS(B676&lt;=30,"Young",B676&lt;=50,"Middle-aged",B676&gt;50,"Older")</f>
        <v>Young</v>
      </c>
      <c r="D676" s="2" t="s">
        <v>10</v>
      </c>
      <c r="E676" s="2" t="s">
        <v>33</v>
      </c>
      <c r="F676" s="2">
        <f t="shared" si="43"/>
        <v>0</v>
      </c>
      <c r="G676" s="2">
        <f t="shared" si="40"/>
        <v>0</v>
      </c>
      <c r="H676" s="2">
        <f t="shared" si="41"/>
        <v>0</v>
      </c>
      <c r="I676" s="2">
        <f t="shared" si="42"/>
        <v>1</v>
      </c>
      <c r="J676" s="2">
        <v>250</v>
      </c>
      <c r="K676" s="2" t="s">
        <v>34</v>
      </c>
      <c r="L676" s="2">
        <v>57</v>
      </c>
      <c r="M676" t="str" cm="1">
        <f t="array" ref="M676">_xlfn.IFS(L676&lt;=14,"Short",L676&lt;=30,"Medium",L676&lt;=45,"Long",L676&lt;=60,"Very Long")</f>
        <v>Very Long</v>
      </c>
      <c r="N676" s="2" t="s">
        <v>95</v>
      </c>
      <c r="O676" s="3">
        <v>5.9</v>
      </c>
    </row>
    <row r="677" spans="1:15" x14ac:dyDescent="0.25">
      <c r="A677" s="4" t="s">
        <v>736</v>
      </c>
      <c r="B677" s="5">
        <v>62</v>
      </c>
      <c r="C677" t="str" cm="1">
        <f t="array" ref="C677">_xlfn.IFS(B677&lt;=30,"Young",B677&lt;=50,"Middle-aged",B677&gt;50,"Older")</f>
        <v>Older</v>
      </c>
      <c r="D677" s="5" t="s">
        <v>19</v>
      </c>
      <c r="E677" s="5" t="s">
        <v>11</v>
      </c>
      <c r="F677" s="5">
        <f t="shared" si="43"/>
        <v>0</v>
      </c>
      <c r="G677" s="5">
        <f t="shared" si="40"/>
        <v>0</v>
      </c>
      <c r="H677" s="5">
        <f t="shared" si="41"/>
        <v>0</v>
      </c>
      <c r="I677" s="5">
        <f t="shared" si="42"/>
        <v>0</v>
      </c>
      <c r="J677" s="5">
        <v>250</v>
      </c>
      <c r="K677" s="5" t="s">
        <v>51</v>
      </c>
      <c r="L677" s="5">
        <v>12</v>
      </c>
      <c r="M677" t="str" cm="1">
        <f t="array" ref="M677">_xlfn.IFS(L677&lt;=14,"Short",L677&lt;=30,"Medium",L677&lt;=45,"Long",L677&lt;=60,"Very Long")</f>
        <v>Short</v>
      </c>
      <c r="N677" s="5" t="s">
        <v>41</v>
      </c>
      <c r="O677" s="6">
        <v>5.0999999999999996</v>
      </c>
    </row>
    <row r="678" spans="1:15" x14ac:dyDescent="0.25">
      <c r="A678" s="1" t="s">
        <v>737</v>
      </c>
      <c r="B678" s="2">
        <v>21</v>
      </c>
      <c r="C678" t="str" cm="1">
        <f t="array" ref="C678">_xlfn.IFS(B678&lt;=30,"Young",B678&lt;=50,"Middle-aged",B678&gt;50,"Older")</f>
        <v>Young</v>
      </c>
      <c r="D678" s="2" t="s">
        <v>19</v>
      </c>
      <c r="E678" s="2" t="s">
        <v>24</v>
      </c>
      <c r="F678" s="2">
        <f t="shared" si="43"/>
        <v>0</v>
      </c>
      <c r="G678" s="2">
        <f t="shared" si="40"/>
        <v>0</v>
      </c>
      <c r="H678" s="2">
        <f t="shared" si="41"/>
        <v>1</v>
      </c>
      <c r="I678" s="2">
        <f t="shared" si="42"/>
        <v>0</v>
      </c>
      <c r="J678" s="2">
        <v>850</v>
      </c>
      <c r="K678" s="2" t="s">
        <v>59</v>
      </c>
      <c r="L678" s="2">
        <v>39</v>
      </c>
      <c r="M678" t="str" cm="1">
        <f t="array" ref="M678">_xlfn.IFS(L678&lt;=14,"Short",L678&lt;=30,"Medium",L678&lt;=45,"Long",L678&lt;=60,"Very Long")</f>
        <v>Long</v>
      </c>
      <c r="N678" s="2" t="s">
        <v>150</v>
      </c>
      <c r="O678" s="3">
        <v>6.7</v>
      </c>
    </row>
    <row r="679" spans="1:15" x14ac:dyDescent="0.25">
      <c r="A679" s="4" t="s">
        <v>738</v>
      </c>
      <c r="B679" s="5">
        <v>33</v>
      </c>
      <c r="C679" t="str" cm="1">
        <f t="array" ref="C679">_xlfn.IFS(B679&lt;=30,"Young",B679&lt;=50,"Middle-aged",B679&gt;50,"Older")</f>
        <v>Middle-aged</v>
      </c>
      <c r="D679" s="5" t="s">
        <v>19</v>
      </c>
      <c r="E679" s="5" t="s">
        <v>20</v>
      </c>
      <c r="F679" s="5">
        <f t="shared" si="43"/>
        <v>0</v>
      </c>
      <c r="G679" s="5">
        <f t="shared" si="40"/>
        <v>1</v>
      </c>
      <c r="H679" s="5">
        <f t="shared" si="41"/>
        <v>0</v>
      </c>
      <c r="I679" s="5">
        <f t="shared" si="42"/>
        <v>0</v>
      </c>
      <c r="J679" s="5">
        <v>500</v>
      </c>
      <c r="K679" s="5" t="s">
        <v>55</v>
      </c>
      <c r="L679" s="5">
        <v>23</v>
      </c>
      <c r="M679" t="str" cm="1">
        <f t="array" ref="M679">_xlfn.IFS(L679&lt;=14,"Short",L679&lt;=30,"Medium",L679&lt;=45,"Long",L679&lt;=60,"Very Long")</f>
        <v>Medium</v>
      </c>
      <c r="N679" s="5" t="s">
        <v>78</v>
      </c>
      <c r="O679" s="6">
        <v>6.5</v>
      </c>
    </row>
    <row r="680" spans="1:15" x14ac:dyDescent="0.25">
      <c r="A680" s="1" t="s">
        <v>739</v>
      </c>
      <c r="B680" s="2">
        <v>41</v>
      </c>
      <c r="C680" t="str" cm="1">
        <f t="array" ref="C680">_xlfn.IFS(B680&lt;=30,"Young",B680&lt;=50,"Middle-aged",B680&gt;50,"Older")</f>
        <v>Middle-aged</v>
      </c>
      <c r="D680" s="2" t="s">
        <v>10</v>
      </c>
      <c r="E680" s="2" t="s">
        <v>11</v>
      </c>
      <c r="F680" s="2">
        <f t="shared" si="43"/>
        <v>0</v>
      </c>
      <c r="G680" s="2">
        <f t="shared" si="40"/>
        <v>0</v>
      </c>
      <c r="H680" s="2">
        <f t="shared" si="41"/>
        <v>0</v>
      </c>
      <c r="I680" s="2">
        <f t="shared" si="42"/>
        <v>0</v>
      </c>
      <c r="J680" s="2">
        <v>50</v>
      </c>
      <c r="K680" s="2" t="s">
        <v>84</v>
      </c>
      <c r="L680" s="2">
        <v>34</v>
      </c>
      <c r="M680" t="str" cm="1">
        <f t="array" ref="M680">_xlfn.IFS(L680&lt;=14,"Short",L680&lt;=30,"Medium",L680&lt;=45,"Long",L680&lt;=60,"Very Long")</f>
        <v>Long</v>
      </c>
      <c r="N680" s="2" t="s">
        <v>97</v>
      </c>
      <c r="O680" s="3">
        <v>10</v>
      </c>
    </row>
    <row r="681" spans="1:15" x14ac:dyDescent="0.25">
      <c r="A681" s="4" t="s">
        <v>740</v>
      </c>
      <c r="B681" s="5">
        <v>33</v>
      </c>
      <c r="C681" t="str" cm="1">
        <f t="array" ref="C681">_xlfn.IFS(B681&lt;=30,"Young",B681&lt;=50,"Middle-aged",B681&gt;50,"Older")</f>
        <v>Middle-aged</v>
      </c>
      <c r="D681" s="5" t="s">
        <v>19</v>
      </c>
      <c r="E681" s="5" t="s">
        <v>11</v>
      </c>
      <c r="F681" s="5">
        <f t="shared" si="43"/>
        <v>0</v>
      </c>
      <c r="G681" s="5">
        <f t="shared" si="40"/>
        <v>0</v>
      </c>
      <c r="H681" s="5">
        <f t="shared" si="41"/>
        <v>0</v>
      </c>
      <c r="I681" s="5">
        <f t="shared" si="42"/>
        <v>0</v>
      </c>
      <c r="J681" s="5">
        <v>500</v>
      </c>
      <c r="K681" s="5" t="s">
        <v>12</v>
      </c>
      <c r="L681" s="5">
        <v>18</v>
      </c>
      <c r="M681" t="str" cm="1">
        <f t="array" ref="M681">_xlfn.IFS(L681&lt;=14,"Short",L681&lt;=30,"Medium",L681&lt;=45,"Long",L681&lt;=60,"Very Long")</f>
        <v>Medium</v>
      </c>
      <c r="N681" s="5" t="s">
        <v>30</v>
      </c>
      <c r="O681" s="6">
        <v>7.6</v>
      </c>
    </row>
    <row r="682" spans="1:15" x14ac:dyDescent="0.25">
      <c r="A682" s="1" t="s">
        <v>741</v>
      </c>
      <c r="B682" s="2">
        <v>72</v>
      </c>
      <c r="C682" t="str" cm="1">
        <f t="array" ref="C682">_xlfn.IFS(B682&lt;=30,"Young",B682&lt;=50,"Middle-aged",B682&gt;50,"Older")</f>
        <v>Older</v>
      </c>
      <c r="D682" s="2" t="s">
        <v>10</v>
      </c>
      <c r="E682" s="2" t="s">
        <v>33</v>
      </c>
      <c r="F682" s="2">
        <f t="shared" si="43"/>
        <v>0</v>
      </c>
      <c r="G682" s="2">
        <f t="shared" si="40"/>
        <v>0</v>
      </c>
      <c r="H682" s="2">
        <f t="shared" si="41"/>
        <v>0</v>
      </c>
      <c r="I682" s="2">
        <f t="shared" si="42"/>
        <v>1</v>
      </c>
      <c r="J682" s="2">
        <v>850</v>
      </c>
      <c r="K682" s="2" t="s">
        <v>47</v>
      </c>
      <c r="L682" s="2">
        <v>24</v>
      </c>
      <c r="M682" t="str" cm="1">
        <f t="array" ref="M682">_xlfn.IFS(L682&lt;=14,"Short",L682&lt;=30,"Medium",L682&lt;=45,"Long",L682&lt;=60,"Very Long")</f>
        <v>Medium</v>
      </c>
      <c r="N682" s="2" t="s">
        <v>345</v>
      </c>
      <c r="O682" s="3">
        <v>4.9000000000000004</v>
      </c>
    </row>
    <row r="683" spans="1:15" x14ac:dyDescent="0.25">
      <c r="A683" s="4" t="s">
        <v>742</v>
      </c>
      <c r="B683" s="5">
        <v>19</v>
      </c>
      <c r="C683" t="str" cm="1">
        <f t="array" ref="C683">_xlfn.IFS(B683&lt;=30,"Young",B683&lt;=50,"Middle-aged",B683&gt;50,"Older")</f>
        <v>Young</v>
      </c>
      <c r="D683" s="5" t="s">
        <v>19</v>
      </c>
      <c r="E683" s="5" t="s">
        <v>15</v>
      </c>
      <c r="F683" s="5">
        <f t="shared" si="43"/>
        <v>1</v>
      </c>
      <c r="G683" s="5">
        <f t="shared" si="40"/>
        <v>0</v>
      </c>
      <c r="H683" s="5">
        <f t="shared" si="41"/>
        <v>0</v>
      </c>
      <c r="I683" s="5">
        <f t="shared" si="42"/>
        <v>0</v>
      </c>
      <c r="J683" s="5">
        <v>500</v>
      </c>
      <c r="K683" s="5" t="s">
        <v>44</v>
      </c>
      <c r="L683" s="5">
        <v>53</v>
      </c>
      <c r="M683" t="str" cm="1">
        <f t="array" ref="M683">_xlfn.IFS(L683&lt;=14,"Short",L683&lt;=30,"Medium",L683&lt;=45,"Long",L683&lt;=60,"Very Long")</f>
        <v>Very Long</v>
      </c>
      <c r="N683" s="5" t="s">
        <v>101</v>
      </c>
      <c r="O683" s="6">
        <v>6.2</v>
      </c>
    </row>
    <row r="684" spans="1:15" x14ac:dyDescent="0.25">
      <c r="A684" s="1" t="s">
        <v>743</v>
      </c>
      <c r="B684" s="2">
        <v>66</v>
      </c>
      <c r="C684" t="str" cm="1">
        <f t="array" ref="C684">_xlfn.IFS(B684&lt;=30,"Young",B684&lt;=50,"Middle-aged",B684&gt;50,"Older")</f>
        <v>Older</v>
      </c>
      <c r="D684" s="2" t="s">
        <v>10</v>
      </c>
      <c r="E684" s="2" t="s">
        <v>24</v>
      </c>
      <c r="F684" s="2">
        <f t="shared" si="43"/>
        <v>0</v>
      </c>
      <c r="G684" s="2">
        <f t="shared" si="40"/>
        <v>0</v>
      </c>
      <c r="H684" s="2">
        <f t="shared" si="41"/>
        <v>1</v>
      </c>
      <c r="I684" s="2">
        <f t="shared" si="42"/>
        <v>0</v>
      </c>
      <c r="J684" s="2">
        <v>50</v>
      </c>
      <c r="K684" s="2" t="s">
        <v>39</v>
      </c>
      <c r="L684" s="2">
        <v>29</v>
      </c>
      <c r="M684" t="str" cm="1">
        <f t="array" ref="M684">_xlfn.IFS(L684&lt;=14,"Short",L684&lt;=30,"Medium",L684&lt;=45,"Long",L684&lt;=60,"Very Long")</f>
        <v>Medium</v>
      </c>
      <c r="N684" s="2" t="s">
        <v>13</v>
      </c>
      <c r="O684" s="3">
        <v>8.5</v>
      </c>
    </row>
    <row r="685" spans="1:15" x14ac:dyDescent="0.25">
      <c r="A685" s="4" t="s">
        <v>744</v>
      </c>
      <c r="B685" s="5">
        <v>45</v>
      </c>
      <c r="C685" t="str" cm="1">
        <f t="array" ref="C685">_xlfn.IFS(B685&lt;=30,"Young",B685&lt;=50,"Middle-aged",B685&gt;50,"Older")</f>
        <v>Middle-aged</v>
      </c>
      <c r="D685" s="5" t="s">
        <v>10</v>
      </c>
      <c r="E685" s="5" t="s">
        <v>15</v>
      </c>
      <c r="F685" s="5">
        <f t="shared" si="43"/>
        <v>1</v>
      </c>
      <c r="G685" s="5">
        <f t="shared" si="40"/>
        <v>0</v>
      </c>
      <c r="H685" s="5">
        <f t="shared" si="41"/>
        <v>0</v>
      </c>
      <c r="I685" s="5">
        <f t="shared" si="42"/>
        <v>0</v>
      </c>
      <c r="J685" s="5">
        <v>100</v>
      </c>
      <c r="K685" s="5" t="s">
        <v>44</v>
      </c>
      <c r="L685" s="5">
        <v>44</v>
      </c>
      <c r="M685" t="str" cm="1">
        <f t="array" ref="M685">_xlfn.IFS(L685&lt;=14,"Short",L685&lt;=30,"Medium",L685&lt;=45,"Long",L685&lt;=60,"Very Long")</f>
        <v>Long</v>
      </c>
      <c r="N685" s="5" t="s">
        <v>30</v>
      </c>
      <c r="O685" s="6">
        <v>10</v>
      </c>
    </row>
    <row r="686" spans="1:15" x14ac:dyDescent="0.25">
      <c r="A686" s="1" t="s">
        <v>745</v>
      </c>
      <c r="B686" s="2">
        <v>49</v>
      </c>
      <c r="C686" t="str" cm="1">
        <f t="array" ref="C686">_xlfn.IFS(B686&lt;=30,"Young",B686&lt;=50,"Middle-aged",B686&gt;50,"Older")</f>
        <v>Middle-aged</v>
      </c>
      <c r="D686" s="2" t="s">
        <v>19</v>
      </c>
      <c r="E686" s="2" t="s">
        <v>24</v>
      </c>
      <c r="F686" s="2">
        <f t="shared" si="43"/>
        <v>0</v>
      </c>
      <c r="G686" s="2">
        <f t="shared" si="40"/>
        <v>0</v>
      </c>
      <c r="H686" s="2">
        <f t="shared" si="41"/>
        <v>1</v>
      </c>
      <c r="I686" s="2">
        <f t="shared" si="42"/>
        <v>0</v>
      </c>
      <c r="J686" s="2">
        <v>500</v>
      </c>
      <c r="K686" s="2" t="s">
        <v>59</v>
      </c>
      <c r="L686" s="2">
        <v>28</v>
      </c>
      <c r="M686" t="str" cm="1">
        <f t="array" ref="M686">_xlfn.IFS(L686&lt;=14,"Short",L686&lt;=30,"Medium",L686&lt;=45,"Long",L686&lt;=60,"Very Long")</f>
        <v>Medium</v>
      </c>
      <c r="N686" s="2" t="s">
        <v>60</v>
      </c>
      <c r="O686" s="3">
        <v>4.5999999999999996</v>
      </c>
    </row>
    <row r="687" spans="1:15" x14ac:dyDescent="0.25">
      <c r="A687" s="4" t="s">
        <v>746</v>
      </c>
      <c r="B687" s="5">
        <v>44</v>
      </c>
      <c r="C687" t="str" cm="1">
        <f t="array" ref="C687">_xlfn.IFS(B687&lt;=30,"Young",B687&lt;=50,"Middle-aged",B687&gt;50,"Older")</f>
        <v>Middle-aged</v>
      </c>
      <c r="D687" s="5" t="s">
        <v>19</v>
      </c>
      <c r="E687" s="5" t="s">
        <v>24</v>
      </c>
      <c r="F687" s="5">
        <f t="shared" si="43"/>
        <v>0</v>
      </c>
      <c r="G687" s="5">
        <f t="shared" si="40"/>
        <v>0</v>
      </c>
      <c r="H687" s="5">
        <f t="shared" si="41"/>
        <v>1</v>
      </c>
      <c r="I687" s="5">
        <f t="shared" si="42"/>
        <v>0</v>
      </c>
      <c r="J687" s="5">
        <v>500</v>
      </c>
      <c r="K687" s="5" t="s">
        <v>59</v>
      </c>
      <c r="L687" s="5">
        <v>18</v>
      </c>
      <c r="M687" t="str" cm="1">
        <f t="array" ref="M687">_xlfn.IFS(L687&lt;=14,"Short",L687&lt;=30,"Medium",L687&lt;=45,"Long",L687&lt;=60,"Very Long")</f>
        <v>Medium</v>
      </c>
      <c r="N687" s="5" t="s">
        <v>60</v>
      </c>
      <c r="O687" s="6">
        <v>4.2</v>
      </c>
    </row>
    <row r="688" spans="1:15" x14ac:dyDescent="0.25">
      <c r="A688" s="1" t="s">
        <v>747</v>
      </c>
      <c r="B688" s="2">
        <v>37</v>
      </c>
      <c r="C688" t="str" cm="1">
        <f t="array" ref="C688">_xlfn.IFS(B688&lt;=30,"Young",B688&lt;=50,"Middle-aged",B688&gt;50,"Older")</f>
        <v>Middle-aged</v>
      </c>
      <c r="D688" s="2" t="s">
        <v>19</v>
      </c>
      <c r="E688" s="2" t="s">
        <v>15</v>
      </c>
      <c r="F688" s="2">
        <f t="shared" si="43"/>
        <v>1</v>
      </c>
      <c r="G688" s="2">
        <f t="shared" si="40"/>
        <v>0</v>
      </c>
      <c r="H688" s="2">
        <f t="shared" si="41"/>
        <v>0</v>
      </c>
      <c r="I688" s="2">
        <f t="shared" si="42"/>
        <v>0</v>
      </c>
      <c r="J688" s="2">
        <v>100</v>
      </c>
      <c r="K688" s="2" t="s">
        <v>63</v>
      </c>
      <c r="L688" s="2">
        <v>30</v>
      </c>
      <c r="M688" t="str" cm="1">
        <f t="array" ref="M688">_xlfn.IFS(L688&lt;=14,"Short",L688&lt;=30,"Medium",L688&lt;=45,"Long",L688&lt;=60,"Very Long")</f>
        <v>Medium</v>
      </c>
      <c r="N688" s="2" t="s">
        <v>41</v>
      </c>
      <c r="O688" s="3">
        <v>9.8000000000000007</v>
      </c>
    </row>
    <row r="689" spans="1:15" x14ac:dyDescent="0.25">
      <c r="A689" s="4" t="s">
        <v>748</v>
      </c>
      <c r="B689" s="5">
        <v>41</v>
      </c>
      <c r="C689" t="str" cm="1">
        <f t="array" ref="C689">_xlfn.IFS(B689&lt;=30,"Young",B689&lt;=50,"Middle-aged",B689&gt;50,"Older")</f>
        <v>Middle-aged</v>
      </c>
      <c r="D689" s="5" t="s">
        <v>19</v>
      </c>
      <c r="E689" s="5" t="s">
        <v>11</v>
      </c>
      <c r="F689" s="5">
        <f t="shared" si="43"/>
        <v>0</v>
      </c>
      <c r="G689" s="5">
        <f t="shared" si="40"/>
        <v>0</v>
      </c>
      <c r="H689" s="5">
        <f t="shared" si="41"/>
        <v>0</v>
      </c>
      <c r="I689" s="5">
        <f t="shared" si="42"/>
        <v>0</v>
      </c>
      <c r="J689" s="5">
        <v>250</v>
      </c>
      <c r="K689" s="5" t="s">
        <v>12</v>
      </c>
      <c r="L689" s="5">
        <v>42</v>
      </c>
      <c r="M689" t="str" cm="1">
        <f t="array" ref="M689">_xlfn.IFS(L689&lt;=14,"Short",L689&lt;=30,"Medium",L689&lt;=45,"Long",L689&lt;=60,"Very Long")</f>
        <v>Long</v>
      </c>
      <c r="N689" s="5" t="s">
        <v>30</v>
      </c>
      <c r="O689" s="6">
        <v>7.6</v>
      </c>
    </row>
    <row r="690" spans="1:15" x14ac:dyDescent="0.25">
      <c r="A690" s="1" t="s">
        <v>749</v>
      </c>
      <c r="B690" s="2">
        <v>29</v>
      </c>
      <c r="C690" t="str" cm="1">
        <f t="array" ref="C690">_xlfn.IFS(B690&lt;=30,"Young",B690&lt;=50,"Middle-aged",B690&gt;50,"Older")</f>
        <v>Young</v>
      </c>
      <c r="D690" s="2" t="s">
        <v>10</v>
      </c>
      <c r="E690" s="2" t="s">
        <v>24</v>
      </c>
      <c r="F690" s="2">
        <f t="shared" si="43"/>
        <v>0</v>
      </c>
      <c r="G690" s="2">
        <f t="shared" si="40"/>
        <v>0</v>
      </c>
      <c r="H690" s="2">
        <f t="shared" si="41"/>
        <v>1</v>
      </c>
      <c r="I690" s="2">
        <f t="shared" si="42"/>
        <v>0</v>
      </c>
      <c r="J690" s="2">
        <v>50</v>
      </c>
      <c r="K690" s="2" t="s">
        <v>25</v>
      </c>
      <c r="L690" s="2">
        <v>27</v>
      </c>
      <c r="M690" t="str" cm="1">
        <f t="array" ref="M690">_xlfn.IFS(L690&lt;=14,"Short",L690&lt;=30,"Medium",L690&lt;=45,"Long",L690&lt;=60,"Very Long")</f>
        <v>Medium</v>
      </c>
      <c r="N690" s="2" t="s">
        <v>26</v>
      </c>
      <c r="O690" s="3">
        <v>5.7</v>
      </c>
    </row>
    <row r="691" spans="1:15" x14ac:dyDescent="0.25">
      <c r="A691" s="4" t="s">
        <v>750</v>
      </c>
      <c r="B691" s="5">
        <v>67</v>
      </c>
      <c r="C691" t="str" cm="1">
        <f t="array" ref="C691">_xlfn.IFS(B691&lt;=30,"Young",B691&lt;=50,"Middle-aged",B691&gt;50,"Older")</f>
        <v>Older</v>
      </c>
      <c r="D691" s="5" t="s">
        <v>19</v>
      </c>
      <c r="E691" s="5" t="s">
        <v>15</v>
      </c>
      <c r="F691" s="5">
        <f t="shared" si="43"/>
        <v>1</v>
      </c>
      <c r="G691" s="5">
        <f t="shared" si="40"/>
        <v>0</v>
      </c>
      <c r="H691" s="5">
        <f t="shared" si="41"/>
        <v>0</v>
      </c>
      <c r="I691" s="5">
        <f t="shared" si="42"/>
        <v>0</v>
      </c>
      <c r="J691" s="5">
        <v>850</v>
      </c>
      <c r="K691" s="5" t="s">
        <v>16</v>
      </c>
      <c r="L691" s="5">
        <v>26</v>
      </c>
      <c r="M691" t="str" cm="1">
        <f t="array" ref="M691">_xlfn.IFS(L691&lt;=14,"Short",L691&lt;=30,"Medium",L691&lt;=45,"Long",L691&lt;=60,"Very Long")</f>
        <v>Medium</v>
      </c>
      <c r="N691" s="5" t="s">
        <v>308</v>
      </c>
      <c r="O691" s="6">
        <v>7.8</v>
      </c>
    </row>
    <row r="692" spans="1:15" x14ac:dyDescent="0.25">
      <c r="A692" s="1" t="s">
        <v>751</v>
      </c>
      <c r="B692" s="2">
        <v>52</v>
      </c>
      <c r="C692" t="str" cm="1">
        <f t="array" ref="C692">_xlfn.IFS(B692&lt;=30,"Young",B692&lt;=50,"Middle-aged",B692&gt;50,"Older")</f>
        <v>Older</v>
      </c>
      <c r="D692" s="2" t="s">
        <v>19</v>
      </c>
      <c r="E692" s="2" t="s">
        <v>24</v>
      </c>
      <c r="F692" s="2">
        <f t="shared" si="43"/>
        <v>0</v>
      </c>
      <c r="G692" s="2">
        <f t="shared" si="40"/>
        <v>0</v>
      </c>
      <c r="H692" s="2">
        <f t="shared" si="41"/>
        <v>1</v>
      </c>
      <c r="I692" s="2">
        <f t="shared" si="42"/>
        <v>0</v>
      </c>
      <c r="J692" s="2">
        <v>250</v>
      </c>
      <c r="K692" s="2" t="s">
        <v>25</v>
      </c>
      <c r="L692" s="2">
        <v>52</v>
      </c>
      <c r="M692" t="str" cm="1">
        <f t="array" ref="M692">_xlfn.IFS(L692&lt;=14,"Short",L692&lt;=30,"Medium",L692&lt;=45,"Long",L692&lt;=60,"Very Long")</f>
        <v>Very Long</v>
      </c>
      <c r="N692" s="2" t="s">
        <v>26</v>
      </c>
      <c r="O692" s="3">
        <v>3</v>
      </c>
    </row>
    <row r="693" spans="1:15" x14ac:dyDescent="0.25">
      <c r="A693" s="4" t="s">
        <v>752</v>
      </c>
      <c r="B693" s="5">
        <v>77</v>
      </c>
      <c r="C693" t="str" cm="1">
        <f t="array" ref="C693">_xlfn.IFS(B693&lt;=30,"Young",B693&lt;=50,"Middle-aged",B693&gt;50,"Older")</f>
        <v>Older</v>
      </c>
      <c r="D693" s="5" t="s">
        <v>19</v>
      </c>
      <c r="E693" s="5" t="s">
        <v>20</v>
      </c>
      <c r="F693" s="5">
        <f t="shared" si="43"/>
        <v>0</v>
      </c>
      <c r="G693" s="5">
        <f t="shared" si="40"/>
        <v>1</v>
      </c>
      <c r="H693" s="5">
        <f t="shared" si="41"/>
        <v>0</v>
      </c>
      <c r="I693" s="5">
        <f t="shared" si="42"/>
        <v>0</v>
      </c>
      <c r="J693" s="5">
        <v>850</v>
      </c>
      <c r="K693" s="5" t="s">
        <v>21</v>
      </c>
      <c r="L693" s="5">
        <v>23</v>
      </c>
      <c r="M693" t="str" cm="1">
        <f t="array" ref="M693">_xlfn.IFS(L693&lt;=14,"Short",L693&lt;=30,"Medium",L693&lt;=45,"Long",L693&lt;=60,"Very Long")</f>
        <v>Medium</v>
      </c>
      <c r="N693" s="5" t="s">
        <v>28</v>
      </c>
      <c r="O693" s="6">
        <v>7</v>
      </c>
    </row>
    <row r="694" spans="1:15" x14ac:dyDescent="0.25">
      <c r="A694" s="1" t="s">
        <v>753</v>
      </c>
      <c r="B694" s="2">
        <v>50</v>
      </c>
      <c r="C694" t="str" cm="1">
        <f t="array" ref="C694">_xlfn.IFS(B694&lt;=30,"Young",B694&lt;=50,"Middle-aged",B694&gt;50,"Older")</f>
        <v>Middle-aged</v>
      </c>
      <c r="D694" s="2" t="s">
        <v>10</v>
      </c>
      <c r="E694" s="2" t="s">
        <v>11</v>
      </c>
      <c r="F694" s="2">
        <f t="shared" si="43"/>
        <v>0</v>
      </c>
      <c r="G694" s="2">
        <f t="shared" si="40"/>
        <v>0</v>
      </c>
      <c r="H694" s="2">
        <f t="shared" si="41"/>
        <v>0</v>
      </c>
      <c r="I694" s="2">
        <f t="shared" si="42"/>
        <v>0</v>
      </c>
      <c r="J694" s="2">
        <v>100</v>
      </c>
      <c r="K694" s="2" t="s">
        <v>51</v>
      </c>
      <c r="L694" s="2">
        <v>50</v>
      </c>
      <c r="M694" t="str" cm="1">
        <f t="array" ref="M694">_xlfn.IFS(L694&lt;=14,"Short",L694&lt;=30,"Medium",L694&lt;=45,"Long",L694&lt;=60,"Very Long")</f>
        <v>Very Long</v>
      </c>
      <c r="N694" s="2" t="s">
        <v>41</v>
      </c>
      <c r="O694" s="3">
        <v>7.5</v>
      </c>
    </row>
    <row r="695" spans="1:15" x14ac:dyDescent="0.25">
      <c r="A695" s="4" t="s">
        <v>754</v>
      </c>
      <c r="B695" s="5">
        <v>50</v>
      </c>
      <c r="C695" t="str" cm="1">
        <f t="array" ref="C695">_xlfn.IFS(B695&lt;=30,"Young",B695&lt;=50,"Middle-aged",B695&gt;50,"Older")</f>
        <v>Middle-aged</v>
      </c>
      <c r="D695" s="5" t="s">
        <v>10</v>
      </c>
      <c r="E695" s="5" t="s">
        <v>33</v>
      </c>
      <c r="F695" s="5">
        <f t="shared" si="43"/>
        <v>0</v>
      </c>
      <c r="G695" s="5">
        <f t="shared" si="40"/>
        <v>0</v>
      </c>
      <c r="H695" s="5">
        <f t="shared" si="41"/>
        <v>0</v>
      </c>
      <c r="I695" s="5">
        <f t="shared" si="42"/>
        <v>1</v>
      </c>
      <c r="J695" s="5">
        <v>50</v>
      </c>
      <c r="K695" s="5" t="s">
        <v>34</v>
      </c>
      <c r="L695" s="5">
        <v>55</v>
      </c>
      <c r="M695" t="str" cm="1">
        <f t="array" ref="M695">_xlfn.IFS(L695&lt;=14,"Short",L695&lt;=30,"Medium",L695&lt;=45,"Long",L695&lt;=60,"Very Long")</f>
        <v>Very Long</v>
      </c>
      <c r="N695" s="5" t="s">
        <v>35</v>
      </c>
      <c r="O695" s="6">
        <v>8.4</v>
      </c>
    </row>
    <row r="696" spans="1:15" x14ac:dyDescent="0.25">
      <c r="A696" s="1" t="s">
        <v>755</v>
      </c>
      <c r="B696" s="2">
        <v>78</v>
      </c>
      <c r="C696" t="str" cm="1">
        <f t="array" ref="C696">_xlfn.IFS(B696&lt;=30,"Young",B696&lt;=50,"Middle-aged",B696&gt;50,"Older")</f>
        <v>Older</v>
      </c>
      <c r="D696" s="2" t="s">
        <v>19</v>
      </c>
      <c r="E696" s="2" t="s">
        <v>24</v>
      </c>
      <c r="F696" s="2">
        <f t="shared" si="43"/>
        <v>0</v>
      </c>
      <c r="G696" s="2">
        <f t="shared" si="40"/>
        <v>0</v>
      </c>
      <c r="H696" s="2">
        <f t="shared" si="41"/>
        <v>1</v>
      </c>
      <c r="I696" s="2">
        <f t="shared" si="42"/>
        <v>0</v>
      </c>
      <c r="J696" s="2">
        <v>50</v>
      </c>
      <c r="K696" s="2" t="s">
        <v>59</v>
      </c>
      <c r="L696" s="2">
        <v>7</v>
      </c>
      <c r="M696" t="str" cm="1">
        <f t="array" ref="M696">_xlfn.IFS(L696&lt;=14,"Short",L696&lt;=30,"Medium",L696&lt;=45,"Long",L696&lt;=60,"Very Long")</f>
        <v>Short</v>
      </c>
      <c r="N696" s="2" t="s">
        <v>150</v>
      </c>
      <c r="O696" s="3">
        <v>5.5</v>
      </c>
    </row>
    <row r="697" spans="1:15" x14ac:dyDescent="0.25">
      <c r="A697" s="4" t="s">
        <v>756</v>
      </c>
      <c r="B697" s="5">
        <v>68</v>
      </c>
      <c r="C697" t="str" cm="1">
        <f t="array" ref="C697">_xlfn.IFS(B697&lt;=30,"Young",B697&lt;=50,"Middle-aged",B697&gt;50,"Older")</f>
        <v>Older</v>
      </c>
      <c r="D697" s="5" t="s">
        <v>10</v>
      </c>
      <c r="E697" s="5" t="s">
        <v>20</v>
      </c>
      <c r="F697" s="5">
        <f t="shared" si="43"/>
        <v>0</v>
      </c>
      <c r="G697" s="5">
        <f t="shared" si="40"/>
        <v>1</v>
      </c>
      <c r="H697" s="5">
        <f t="shared" si="41"/>
        <v>0</v>
      </c>
      <c r="I697" s="5">
        <f t="shared" si="42"/>
        <v>0</v>
      </c>
      <c r="J697" s="5">
        <v>850</v>
      </c>
      <c r="K697" s="5" t="s">
        <v>37</v>
      </c>
      <c r="L697" s="5">
        <v>46</v>
      </c>
      <c r="M697" t="str" cm="1">
        <f t="array" ref="M697">_xlfn.IFS(L697&lt;=14,"Short",L697&lt;=30,"Medium",L697&lt;=45,"Long",L697&lt;=60,"Very Long")</f>
        <v>Very Long</v>
      </c>
      <c r="N697" s="5" t="s">
        <v>13</v>
      </c>
      <c r="O697" s="6">
        <v>7.1</v>
      </c>
    </row>
    <row r="698" spans="1:15" x14ac:dyDescent="0.25">
      <c r="A698" s="1" t="s">
        <v>757</v>
      </c>
      <c r="B698" s="2">
        <v>60</v>
      </c>
      <c r="C698" t="str" cm="1">
        <f t="array" ref="C698">_xlfn.IFS(B698&lt;=30,"Young",B698&lt;=50,"Middle-aged",B698&gt;50,"Older")</f>
        <v>Older</v>
      </c>
      <c r="D698" s="2" t="s">
        <v>19</v>
      </c>
      <c r="E698" s="2" t="s">
        <v>33</v>
      </c>
      <c r="F698" s="2">
        <f t="shared" si="43"/>
        <v>0</v>
      </c>
      <c r="G698" s="2">
        <f t="shared" si="40"/>
        <v>0</v>
      </c>
      <c r="H698" s="2">
        <f t="shared" si="41"/>
        <v>0</v>
      </c>
      <c r="I698" s="2">
        <f t="shared" si="42"/>
        <v>1</v>
      </c>
      <c r="J698" s="2">
        <v>250</v>
      </c>
      <c r="K698" s="2" t="s">
        <v>47</v>
      </c>
      <c r="L698" s="2">
        <v>23</v>
      </c>
      <c r="M698" t="str" cm="1">
        <f t="array" ref="M698">_xlfn.IFS(L698&lt;=14,"Short",L698&lt;=30,"Medium",L698&lt;=45,"Long",L698&lt;=60,"Very Long")</f>
        <v>Medium</v>
      </c>
      <c r="N698" s="2" t="s">
        <v>225</v>
      </c>
      <c r="O698" s="3">
        <v>5.6</v>
      </c>
    </row>
    <row r="699" spans="1:15" x14ac:dyDescent="0.25">
      <c r="A699" s="4" t="s">
        <v>758</v>
      </c>
      <c r="B699" s="5">
        <v>54</v>
      </c>
      <c r="C699" t="str" cm="1">
        <f t="array" ref="C699">_xlfn.IFS(B699&lt;=30,"Young",B699&lt;=50,"Middle-aged",B699&gt;50,"Older")</f>
        <v>Older</v>
      </c>
      <c r="D699" s="5" t="s">
        <v>10</v>
      </c>
      <c r="E699" s="5" t="s">
        <v>33</v>
      </c>
      <c r="F699" s="5">
        <f t="shared" si="43"/>
        <v>0</v>
      </c>
      <c r="G699" s="5">
        <f t="shared" si="40"/>
        <v>0</v>
      </c>
      <c r="H699" s="5">
        <f t="shared" si="41"/>
        <v>0</v>
      </c>
      <c r="I699" s="5">
        <f t="shared" si="42"/>
        <v>1</v>
      </c>
      <c r="J699" s="5">
        <v>100</v>
      </c>
      <c r="K699" s="5" t="s">
        <v>47</v>
      </c>
      <c r="L699" s="5">
        <v>13</v>
      </c>
      <c r="M699" t="str" cm="1">
        <f t="array" ref="M699">_xlfn.IFS(L699&lt;=14,"Short",L699&lt;=30,"Medium",L699&lt;=45,"Long",L699&lt;=60,"Very Long")</f>
        <v>Short</v>
      </c>
      <c r="N699" s="5" t="s">
        <v>13</v>
      </c>
      <c r="O699" s="6">
        <v>7.4</v>
      </c>
    </row>
    <row r="700" spans="1:15" x14ac:dyDescent="0.25">
      <c r="A700" s="1" t="s">
        <v>759</v>
      </c>
      <c r="B700" s="2">
        <v>29</v>
      </c>
      <c r="C700" t="str" cm="1">
        <f t="array" ref="C700">_xlfn.IFS(B700&lt;=30,"Young",B700&lt;=50,"Middle-aged",B700&gt;50,"Older")</f>
        <v>Young</v>
      </c>
      <c r="D700" s="2" t="s">
        <v>10</v>
      </c>
      <c r="E700" s="2" t="s">
        <v>24</v>
      </c>
      <c r="F700" s="2">
        <f t="shared" si="43"/>
        <v>0</v>
      </c>
      <c r="G700" s="2">
        <f t="shared" si="40"/>
        <v>0</v>
      </c>
      <c r="H700" s="2">
        <f t="shared" si="41"/>
        <v>1</v>
      </c>
      <c r="I700" s="2">
        <f t="shared" si="42"/>
        <v>0</v>
      </c>
      <c r="J700" s="2">
        <v>850</v>
      </c>
      <c r="K700" s="2" t="s">
        <v>25</v>
      </c>
      <c r="L700" s="2">
        <v>32</v>
      </c>
      <c r="M700" t="str" cm="1">
        <f t="array" ref="M700">_xlfn.IFS(L700&lt;=14,"Short",L700&lt;=30,"Medium",L700&lt;=45,"Long",L700&lt;=60,"Very Long")</f>
        <v>Long</v>
      </c>
      <c r="N700" s="2" t="s">
        <v>70</v>
      </c>
      <c r="O700" s="3">
        <v>5.7</v>
      </c>
    </row>
    <row r="701" spans="1:15" x14ac:dyDescent="0.25">
      <c r="A701" s="4" t="s">
        <v>760</v>
      </c>
      <c r="B701" s="5">
        <v>20</v>
      </c>
      <c r="C701" t="str" cm="1">
        <f t="array" ref="C701">_xlfn.IFS(B701&lt;=30,"Young",B701&lt;=50,"Middle-aged",B701&gt;50,"Older")</f>
        <v>Young</v>
      </c>
      <c r="D701" s="5" t="s">
        <v>10</v>
      </c>
      <c r="E701" s="5" t="s">
        <v>15</v>
      </c>
      <c r="F701" s="5">
        <f t="shared" si="43"/>
        <v>1</v>
      </c>
      <c r="G701" s="5">
        <f t="shared" si="40"/>
        <v>0</v>
      </c>
      <c r="H701" s="5">
        <f t="shared" si="41"/>
        <v>0</v>
      </c>
      <c r="I701" s="5">
        <f t="shared" si="42"/>
        <v>0</v>
      </c>
      <c r="J701" s="5">
        <v>100</v>
      </c>
      <c r="K701" s="5" t="s">
        <v>63</v>
      </c>
      <c r="L701" s="5">
        <v>24</v>
      </c>
      <c r="M701" t="str" cm="1">
        <f t="array" ref="M701">_xlfn.IFS(L701&lt;=14,"Short",L701&lt;=30,"Medium",L701&lt;=45,"Long",L701&lt;=60,"Very Long")</f>
        <v>Medium</v>
      </c>
      <c r="N701" s="5" t="s">
        <v>41</v>
      </c>
      <c r="O701" s="6">
        <v>6.4</v>
      </c>
    </row>
    <row r="702" spans="1:15" x14ac:dyDescent="0.25">
      <c r="A702" s="1" t="s">
        <v>761</v>
      </c>
      <c r="B702" s="2">
        <v>18</v>
      </c>
      <c r="C702" t="str" cm="1">
        <f t="array" ref="C702">_xlfn.IFS(B702&lt;=30,"Young",B702&lt;=50,"Middle-aged",B702&gt;50,"Older")</f>
        <v>Young</v>
      </c>
      <c r="D702" s="2" t="s">
        <v>10</v>
      </c>
      <c r="E702" s="2" t="s">
        <v>24</v>
      </c>
      <c r="F702" s="2">
        <f t="shared" si="43"/>
        <v>0</v>
      </c>
      <c r="G702" s="2">
        <f t="shared" si="40"/>
        <v>0</v>
      </c>
      <c r="H702" s="2">
        <f t="shared" si="41"/>
        <v>1</v>
      </c>
      <c r="I702" s="2">
        <f t="shared" si="42"/>
        <v>0</v>
      </c>
      <c r="J702" s="2">
        <v>850</v>
      </c>
      <c r="K702" s="2" t="s">
        <v>39</v>
      </c>
      <c r="L702" s="2">
        <v>49</v>
      </c>
      <c r="M702" t="str" cm="1">
        <f t="array" ref="M702">_xlfn.IFS(L702&lt;=14,"Short",L702&lt;=30,"Medium",L702&lt;=45,"Long",L702&lt;=60,"Very Long")</f>
        <v>Very Long</v>
      </c>
      <c r="N702" s="2" t="s">
        <v>85</v>
      </c>
      <c r="O702" s="3">
        <v>5.5</v>
      </c>
    </row>
    <row r="703" spans="1:15" x14ac:dyDescent="0.25">
      <c r="A703" s="4" t="s">
        <v>762</v>
      </c>
      <c r="B703" s="5">
        <v>50</v>
      </c>
      <c r="C703" t="str" cm="1">
        <f t="array" ref="C703">_xlfn.IFS(B703&lt;=30,"Young",B703&lt;=50,"Middle-aged",B703&gt;50,"Older")</f>
        <v>Middle-aged</v>
      </c>
      <c r="D703" s="5" t="s">
        <v>19</v>
      </c>
      <c r="E703" s="5" t="s">
        <v>20</v>
      </c>
      <c r="F703" s="5">
        <f t="shared" si="43"/>
        <v>0</v>
      </c>
      <c r="G703" s="5">
        <f t="shared" si="40"/>
        <v>1</v>
      </c>
      <c r="H703" s="5">
        <f t="shared" si="41"/>
        <v>0</v>
      </c>
      <c r="I703" s="5">
        <f t="shared" si="42"/>
        <v>0</v>
      </c>
      <c r="J703" s="5">
        <v>250</v>
      </c>
      <c r="K703" s="5" t="s">
        <v>37</v>
      </c>
      <c r="L703" s="5">
        <v>11</v>
      </c>
      <c r="M703" t="str" cm="1">
        <f t="array" ref="M703">_xlfn.IFS(L703&lt;=14,"Short",L703&lt;=30,"Medium",L703&lt;=45,"Long",L703&lt;=60,"Very Long")</f>
        <v>Short</v>
      </c>
      <c r="N703" s="5" t="s">
        <v>13</v>
      </c>
      <c r="O703" s="6">
        <v>8</v>
      </c>
    </row>
    <row r="704" spans="1:15" x14ac:dyDescent="0.25">
      <c r="A704" s="1" t="s">
        <v>763</v>
      </c>
      <c r="B704" s="2">
        <v>57</v>
      </c>
      <c r="C704" t="str" cm="1">
        <f t="array" ref="C704">_xlfn.IFS(B704&lt;=30,"Young",B704&lt;=50,"Middle-aged",B704&gt;50,"Older")</f>
        <v>Older</v>
      </c>
      <c r="D704" s="2" t="s">
        <v>19</v>
      </c>
      <c r="E704" s="2" t="s">
        <v>33</v>
      </c>
      <c r="F704" s="2">
        <f t="shared" si="43"/>
        <v>0</v>
      </c>
      <c r="G704" s="2">
        <f t="shared" si="40"/>
        <v>0</v>
      </c>
      <c r="H704" s="2">
        <f t="shared" si="41"/>
        <v>0</v>
      </c>
      <c r="I704" s="2">
        <f t="shared" si="42"/>
        <v>1</v>
      </c>
      <c r="J704" s="2">
        <v>850</v>
      </c>
      <c r="K704" s="2" t="s">
        <v>47</v>
      </c>
      <c r="L704" s="2">
        <v>18</v>
      </c>
      <c r="M704" t="str" cm="1">
        <f t="array" ref="M704">_xlfn.IFS(L704&lt;=14,"Short",L704&lt;=30,"Medium",L704&lt;=45,"Long",L704&lt;=60,"Very Long")</f>
        <v>Medium</v>
      </c>
      <c r="N704" s="2" t="s">
        <v>345</v>
      </c>
      <c r="O704" s="3">
        <v>8.3000000000000007</v>
      </c>
    </row>
    <row r="705" spans="1:15" x14ac:dyDescent="0.25">
      <c r="A705" s="4" t="s">
        <v>764</v>
      </c>
      <c r="B705" s="5">
        <v>27</v>
      </c>
      <c r="C705" t="str" cm="1">
        <f t="array" ref="C705">_xlfn.IFS(B705&lt;=30,"Young",B705&lt;=50,"Middle-aged",B705&gt;50,"Older")</f>
        <v>Young</v>
      </c>
      <c r="D705" s="5" t="s">
        <v>19</v>
      </c>
      <c r="E705" s="5" t="s">
        <v>24</v>
      </c>
      <c r="F705" s="5">
        <f t="shared" si="43"/>
        <v>0</v>
      </c>
      <c r="G705" s="5">
        <f t="shared" si="40"/>
        <v>0</v>
      </c>
      <c r="H705" s="5">
        <f t="shared" si="41"/>
        <v>1</v>
      </c>
      <c r="I705" s="5">
        <f t="shared" si="42"/>
        <v>0</v>
      </c>
      <c r="J705" s="5">
        <v>250</v>
      </c>
      <c r="K705" s="5" t="s">
        <v>25</v>
      </c>
      <c r="L705" s="5">
        <v>13</v>
      </c>
      <c r="M705" t="str" cm="1">
        <f t="array" ref="M705">_xlfn.IFS(L705&lt;=14,"Short",L705&lt;=30,"Medium",L705&lt;=45,"Long",L705&lt;=60,"Very Long")</f>
        <v>Short</v>
      </c>
      <c r="N705" s="5" t="s">
        <v>13</v>
      </c>
      <c r="O705" s="6">
        <v>6.6</v>
      </c>
    </row>
    <row r="706" spans="1:15" x14ac:dyDescent="0.25">
      <c r="A706" s="1" t="s">
        <v>765</v>
      </c>
      <c r="B706" s="2">
        <v>60</v>
      </c>
      <c r="C706" t="str" cm="1">
        <f t="array" ref="C706">_xlfn.IFS(B706&lt;=30,"Young",B706&lt;=50,"Middle-aged",B706&gt;50,"Older")</f>
        <v>Older</v>
      </c>
      <c r="D706" s="2" t="s">
        <v>10</v>
      </c>
      <c r="E706" s="2" t="s">
        <v>15</v>
      </c>
      <c r="F706" s="2">
        <f t="shared" si="43"/>
        <v>1</v>
      </c>
      <c r="G706" s="2">
        <f t="shared" ref="G706:G769" si="44">IF($E706="Depression",1,0)</f>
        <v>0</v>
      </c>
      <c r="H706" s="2">
        <f t="shared" ref="H706:H769" si="45">IF($E706="Diabetes",1,0)</f>
        <v>0</v>
      </c>
      <c r="I706" s="2">
        <f t="shared" ref="I706:I769" si="46">IF($E706="Pain relief",1,0)</f>
        <v>0</v>
      </c>
      <c r="J706" s="2">
        <v>250</v>
      </c>
      <c r="K706" s="2" t="s">
        <v>44</v>
      </c>
      <c r="L706" s="2">
        <v>59</v>
      </c>
      <c r="M706" t="str" cm="1">
        <f t="array" ref="M706">_xlfn.IFS(L706&lt;=14,"Short",L706&lt;=30,"Medium",L706&lt;=45,"Long",L706&lt;=60,"Very Long")</f>
        <v>Very Long</v>
      </c>
      <c r="N706" s="2" t="s">
        <v>30</v>
      </c>
      <c r="O706" s="3">
        <v>7.1</v>
      </c>
    </row>
    <row r="707" spans="1:15" x14ac:dyDescent="0.25">
      <c r="A707" s="4" t="s">
        <v>766</v>
      </c>
      <c r="B707" s="5">
        <v>61</v>
      </c>
      <c r="C707" t="str" cm="1">
        <f t="array" ref="C707">_xlfn.IFS(B707&lt;=30,"Young",B707&lt;=50,"Middle-aged",B707&gt;50,"Older")</f>
        <v>Older</v>
      </c>
      <c r="D707" s="5" t="s">
        <v>19</v>
      </c>
      <c r="E707" s="5" t="s">
        <v>24</v>
      </c>
      <c r="F707" s="5">
        <f t="shared" ref="F707:F770" si="47">IF($E707="Hypertension",1,0)</f>
        <v>0</v>
      </c>
      <c r="G707" s="5">
        <f t="shared" si="44"/>
        <v>0</v>
      </c>
      <c r="H707" s="5">
        <f t="shared" si="45"/>
        <v>1</v>
      </c>
      <c r="I707" s="5">
        <f t="shared" si="46"/>
        <v>0</v>
      </c>
      <c r="J707" s="5">
        <v>250</v>
      </c>
      <c r="K707" s="5" t="s">
        <v>59</v>
      </c>
      <c r="L707" s="5">
        <v>23</v>
      </c>
      <c r="M707" t="str" cm="1">
        <f t="array" ref="M707">_xlfn.IFS(L707&lt;=14,"Short",L707&lt;=30,"Medium",L707&lt;=45,"Long",L707&lt;=60,"Very Long")</f>
        <v>Medium</v>
      </c>
      <c r="N707" s="5" t="s">
        <v>74</v>
      </c>
      <c r="O707" s="6">
        <v>4.8</v>
      </c>
    </row>
    <row r="708" spans="1:15" x14ac:dyDescent="0.25">
      <c r="A708" s="1" t="s">
        <v>767</v>
      </c>
      <c r="B708" s="2">
        <v>46</v>
      </c>
      <c r="C708" t="str" cm="1">
        <f t="array" ref="C708">_xlfn.IFS(B708&lt;=30,"Young",B708&lt;=50,"Middle-aged",B708&gt;50,"Older")</f>
        <v>Middle-aged</v>
      </c>
      <c r="D708" s="2" t="s">
        <v>19</v>
      </c>
      <c r="E708" s="2" t="s">
        <v>11</v>
      </c>
      <c r="F708" s="2">
        <f t="shared" si="47"/>
        <v>0</v>
      </c>
      <c r="G708" s="2">
        <f t="shared" si="44"/>
        <v>0</v>
      </c>
      <c r="H708" s="2">
        <f t="shared" si="45"/>
        <v>0</v>
      </c>
      <c r="I708" s="2">
        <f t="shared" si="46"/>
        <v>0</v>
      </c>
      <c r="J708" s="2">
        <v>250</v>
      </c>
      <c r="K708" s="2" t="s">
        <v>51</v>
      </c>
      <c r="L708" s="2">
        <v>51</v>
      </c>
      <c r="M708" t="str" cm="1">
        <f t="array" ref="M708">_xlfn.IFS(L708&lt;=14,"Short",L708&lt;=30,"Medium",L708&lt;=45,"Long",L708&lt;=60,"Very Long")</f>
        <v>Very Long</v>
      </c>
      <c r="N708" s="2" t="s">
        <v>52</v>
      </c>
      <c r="O708" s="3">
        <v>6.6</v>
      </c>
    </row>
    <row r="709" spans="1:15" x14ac:dyDescent="0.25">
      <c r="A709" s="4" t="s">
        <v>768</v>
      </c>
      <c r="B709" s="5">
        <v>30</v>
      </c>
      <c r="C709" t="str" cm="1">
        <f t="array" ref="C709">_xlfn.IFS(B709&lt;=30,"Young",B709&lt;=50,"Middle-aged",B709&gt;50,"Older")</f>
        <v>Young</v>
      </c>
      <c r="D709" s="5" t="s">
        <v>19</v>
      </c>
      <c r="E709" s="5" t="s">
        <v>15</v>
      </c>
      <c r="F709" s="5">
        <f t="shared" si="47"/>
        <v>1</v>
      </c>
      <c r="G709" s="5">
        <f t="shared" si="44"/>
        <v>0</v>
      </c>
      <c r="H709" s="5">
        <f t="shared" si="45"/>
        <v>0</v>
      </c>
      <c r="I709" s="5">
        <f t="shared" si="46"/>
        <v>0</v>
      </c>
      <c r="J709" s="5">
        <v>250</v>
      </c>
      <c r="K709" s="5" t="s">
        <v>44</v>
      </c>
      <c r="L709" s="5">
        <v>56</v>
      </c>
      <c r="M709" t="str" cm="1">
        <f t="array" ref="M709">_xlfn.IFS(L709&lt;=14,"Short",L709&lt;=30,"Medium",L709&lt;=45,"Long",L709&lt;=60,"Very Long")</f>
        <v>Very Long</v>
      </c>
      <c r="N709" s="5" t="s">
        <v>30</v>
      </c>
      <c r="O709" s="6">
        <v>6.9</v>
      </c>
    </row>
    <row r="710" spans="1:15" x14ac:dyDescent="0.25">
      <c r="A710" s="1" t="s">
        <v>769</v>
      </c>
      <c r="B710" s="2">
        <v>29</v>
      </c>
      <c r="C710" t="str" cm="1">
        <f t="array" ref="C710">_xlfn.IFS(B710&lt;=30,"Young",B710&lt;=50,"Middle-aged",B710&gt;50,"Older")</f>
        <v>Young</v>
      </c>
      <c r="D710" s="2" t="s">
        <v>10</v>
      </c>
      <c r="E710" s="2" t="s">
        <v>20</v>
      </c>
      <c r="F710" s="2">
        <f t="shared" si="47"/>
        <v>0</v>
      </c>
      <c r="G710" s="2">
        <f t="shared" si="44"/>
        <v>1</v>
      </c>
      <c r="H710" s="2">
        <f t="shared" si="45"/>
        <v>0</v>
      </c>
      <c r="I710" s="2">
        <f t="shared" si="46"/>
        <v>0</v>
      </c>
      <c r="J710" s="2">
        <v>250</v>
      </c>
      <c r="K710" s="2" t="s">
        <v>21</v>
      </c>
      <c r="L710" s="2">
        <v>18</v>
      </c>
      <c r="M710" t="str" cm="1">
        <f t="array" ref="M710">_xlfn.IFS(L710&lt;=14,"Short",L710&lt;=30,"Medium",L710&lt;=45,"Long",L710&lt;=60,"Very Long")</f>
        <v>Medium</v>
      </c>
      <c r="N710" s="2" t="s">
        <v>22</v>
      </c>
      <c r="O710" s="3">
        <v>10</v>
      </c>
    </row>
    <row r="711" spans="1:15" x14ac:dyDescent="0.25">
      <c r="A711" s="4" t="s">
        <v>770</v>
      </c>
      <c r="B711" s="5">
        <v>48</v>
      </c>
      <c r="C711" t="str" cm="1">
        <f t="array" ref="C711">_xlfn.IFS(B711&lt;=30,"Young",B711&lt;=50,"Middle-aged",B711&gt;50,"Older")</f>
        <v>Middle-aged</v>
      </c>
      <c r="D711" s="5" t="s">
        <v>10</v>
      </c>
      <c r="E711" s="5" t="s">
        <v>33</v>
      </c>
      <c r="F711" s="5">
        <f t="shared" si="47"/>
        <v>0</v>
      </c>
      <c r="G711" s="5">
        <f t="shared" si="44"/>
        <v>0</v>
      </c>
      <c r="H711" s="5">
        <f t="shared" si="45"/>
        <v>0</v>
      </c>
      <c r="I711" s="5">
        <f t="shared" si="46"/>
        <v>1</v>
      </c>
      <c r="J711" s="5">
        <v>50</v>
      </c>
      <c r="K711" s="5" t="s">
        <v>47</v>
      </c>
      <c r="L711" s="5">
        <v>42</v>
      </c>
      <c r="M711" t="str" cm="1">
        <f t="array" ref="M711">_xlfn.IFS(L711&lt;=14,"Short",L711&lt;=30,"Medium",L711&lt;=45,"Long",L711&lt;=60,"Very Long")</f>
        <v>Long</v>
      </c>
      <c r="N711" s="5" t="s">
        <v>13</v>
      </c>
      <c r="O711" s="6">
        <v>5.3</v>
      </c>
    </row>
    <row r="712" spans="1:15" x14ac:dyDescent="0.25">
      <c r="A712" s="1" t="s">
        <v>771</v>
      </c>
      <c r="B712" s="2">
        <v>63</v>
      </c>
      <c r="C712" t="str" cm="1">
        <f t="array" ref="C712">_xlfn.IFS(B712&lt;=30,"Young",B712&lt;=50,"Middle-aged",B712&gt;50,"Older")</f>
        <v>Older</v>
      </c>
      <c r="D712" s="2" t="s">
        <v>10</v>
      </c>
      <c r="E712" s="2" t="s">
        <v>24</v>
      </c>
      <c r="F712" s="2">
        <f t="shared" si="47"/>
        <v>0</v>
      </c>
      <c r="G712" s="2">
        <f t="shared" si="44"/>
        <v>0</v>
      </c>
      <c r="H712" s="2">
        <f t="shared" si="45"/>
        <v>1</v>
      </c>
      <c r="I712" s="2">
        <f t="shared" si="46"/>
        <v>0</v>
      </c>
      <c r="J712" s="2">
        <v>850</v>
      </c>
      <c r="K712" s="2" t="s">
        <v>39</v>
      </c>
      <c r="L712" s="2">
        <v>57</v>
      </c>
      <c r="M712" t="str" cm="1">
        <f t="array" ref="M712">_xlfn.IFS(L712&lt;=14,"Short",L712&lt;=30,"Medium",L712&lt;=45,"Long",L712&lt;=60,"Very Long")</f>
        <v>Very Long</v>
      </c>
      <c r="N712" s="2" t="s">
        <v>136</v>
      </c>
      <c r="O712" s="3">
        <v>9.1999999999999993</v>
      </c>
    </row>
    <row r="713" spans="1:15" x14ac:dyDescent="0.25">
      <c r="A713" s="4" t="s">
        <v>772</v>
      </c>
      <c r="B713" s="5">
        <v>19</v>
      </c>
      <c r="C713" t="str" cm="1">
        <f t="array" ref="C713">_xlfn.IFS(B713&lt;=30,"Young",B713&lt;=50,"Middle-aged",B713&gt;50,"Older")</f>
        <v>Young</v>
      </c>
      <c r="D713" s="5" t="s">
        <v>19</v>
      </c>
      <c r="E713" s="5" t="s">
        <v>15</v>
      </c>
      <c r="F713" s="5">
        <f t="shared" si="47"/>
        <v>1</v>
      </c>
      <c r="G713" s="5">
        <f t="shared" si="44"/>
        <v>0</v>
      </c>
      <c r="H713" s="5">
        <f t="shared" si="45"/>
        <v>0</v>
      </c>
      <c r="I713" s="5">
        <f t="shared" si="46"/>
        <v>0</v>
      </c>
      <c r="J713" s="5">
        <v>500</v>
      </c>
      <c r="K713" s="5" t="s">
        <v>44</v>
      </c>
      <c r="L713" s="5">
        <v>40</v>
      </c>
      <c r="M713" t="str" cm="1">
        <f t="array" ref="M713">_xlfn.IFS(L713&lt;=14,"Short",L713&lt;=30,"Medium",L713&lt;=45,"Long",L713&lt;=60,"Very Long")</f>
        <v>Long</v>
      </c>
      <c r="N713" s="5" t="s">
        <v>101</v>
      </c>
      <c r="O713" s="6">
        <v>8.5</v>
      </c>
    </row>
    <row r="714" spans="1:15" x14ac:dyDescent="0.25">
      <c r="A714" s="1" t="s">
        <v>773</v>
      </c>
      <c r="B714" s="2">
        <v>78</v>
      </c>
      <c r="C714" t="str" cm="1">
        <f t="array" ref="C714">_xlfn.IFS(B714&lt;=30,"Young",B714&lt;=50,"Middle-aged",B714&gt;50,"Older")</f>
        <v>Older</v>
      </c>
      <c r="D714" s="2" t="s">
        <v>19</v>
      </c>
      <c r="E714" s="2" t="s">
        <v>11</v>
      </c>
      <c r="F714" s="2">
        <f t="shared" si="47"/>
        <v>0</v>
      </c>
      <c r="G714" s="2">
        <f t="shared" si="44"/>
        <v>0</v>
      </c>
      <c r="H714" s="2">
        <f t="shared" si="45"/>
        <v>0</v>
      </c>
      <c r="I714" s="2">
        <f t="shared" si="46"/>
        <v>0</v>
      </c>
      <c r="J714" s="2">
        <v>100</v>
      </c>
      <c r="K714" s="2" t="s">
        <v>84</v>
      </c>
      <c r="L714" s="2">
        <v>44</v>
      </c>
      <c r="M714" t="str" cm="1">
        <f t="array" ref="M714">_xlfn.IFS(L714&lt;=14,"Short",L714&lt;=30,"Medium",L714&lt;=45,"Long",L714&lt;=60,"Very Long")</f>
        <v>Long</v>
      </c>
      <c r="N714" s="2" t="s">
        <v>93</v>
      </c>
      <c r="O714" s="3">
        <v>7.4</v>
      </c>
    </row>
    <row r="715" spans="1:15" x14ac:dyDescent="0.25">
      <c r="A715" s="4" t="s">
        <v>774</v>
      </c>
      <c r="B715" s="5">
        <v>68</v>
      </c>
      <c r="C715" t="str" cm="1">
        <f t="array" ref="C715">_xlfn.IFS(B715&lt;=30,"Young",B715&lt;=50,"Middle-aged",B715&gt;50,"Older")</f>
        <v>Older</v>
      </c>
      <c r="D715" s="5" t="s">
        <v>19</v>
      </c>
      <c r="E715" s="5" t="s">
        <v>15</v>
      </c>
      <c r="F715" s="5">
        <f t="shared" si="47"/>
        <v>1</v>
      </c>
      <c r="G715" s="5">
        <f t="shared" si="44"/>
        <v>0</v>
      </c>
      <c r="H715" s="5">
        <f t="shared" si="45"/>
        <v>0</v>
      </c>
      <c r="I715" s="5">
        <f t="shared" si="46"/>
        <v>0</v>
      </c>
      <c r="J715" s="5">
        <v>500</v>
      </c>
      <c r="K715" s="5" t="s">
        <v>63</v>
      </c>
      <c r="L715" s="5">
        <v>21</v>
      </c>
      <c r="M715" t="str" cm="1">
        <f t="array" ref="M715">_xlfn.IFS(L715&lt;=14,"Short",L715&lt;=30,"Medium",L715&lt;=45,"Long",L715&lt;=60,"Very Long")</f>
        <v>Medium</v>
      </c>
      <c r="N715" s="5" t="s">
        <v>41</v>
      </c>
      <c r="O715" s="6">
        <v>9.6</v>
      </c>
    </row>
    <row r="716" spans="1:15" x14ac:dyDescent="0.25">
      <c r="A716" s="1" t="s">
        <v>775</v>
      </c>
      <c r="B716" s="2">
        <v>67</v>
      </c>
      <c r="C716" t="str" cm="1">
        <f t="array" ref="C716">_xlfn.IFS(B716&lt;=30,"Young",B716&lt;=50,"Middle-aged",B716&gt;50,"Older")</f>
        <v>Older</v>
      </c>
      <c r="D716" s="2" t="s">
        <v>10</v>
      </c>
      <c r="E716" s="2" t="s">
        <v>11</v>
      </c>
      <c r="F716" s="2">
        <f t="shared" si="47"/>
        <v>0</v>
      </c>
      <c r="G716" s="2">
        <f t="shared" si="44"/>
        <v>0</v>
      </c>
      <c r="H716" s="2">
        <f t="shared" si="45"/>
        <v>0</v>
      </c>
      <c r="I716" s="2">
        <f t="shared" si="46"/>
        <v>0</v>
      </c>
      <c r="J716" s="2">
        <v>50</v>
      </c>
      <c r="K716" s="2" t="s">
        <v>12</v>
      </c>
      <c r="L716" s="2">
        <v>34</v>
      </c>
      <c r="M716" t="str" cm="1">
        <f t="array" ref="M716">_xlfn.IFS(L716&lt;=14,"Short",L716&lt;=30,"Medium",L716&lt;=45,"Long",L716&lt;=60,"Very Long")</f>
        <v>Long</v>
      </c>
      <c r="N716" s="2" t="s">
        <v>13</v>
      </c>
      <c r="O716" s="3">
        <v>7.6</v>
      </c>
    </row>
    <row r="717" spans="1:15" x14ac:dyDescent="0.25">
      <c r="A717" s="4" t="s">
        <v>776</v>
      </c>
      <c r="B717" s="5">
        <v>52</v>
      </c>
      <c r="C717" t="str" cm="1">
        <f t="array" ref="C717">_xlfn.IFS(B717&lt;=30,"Young",B717&lt;=50,"Middle-aged",B717&gt;50,"Older")</f>
        <v>Older</v>
      </c>
      <c r="D717" s="5" t="s">
        <v>10</v>
      </c>
      <c r="E717" s="5" t="s">
        <v>20</v>
      </c>
      <c r="F717" s="5">
        <f t="shared" si="47"/>
        <v>0</v>
      </c>
      <c r="G717" s="5">
        <f t="shared" si="44"/>
        <v>1</v>
      </c>
      <c r="H717" s="5">
        <f t="shared" si="45"/>
        <v>0</v>
      </c>
      <c r="I717" s="5">
        <f t="shared" si="46"/>
        <v>0</v>
      </c>
      <c r="J717" s="5">
        <v>50</v>
      </c>
      <c r="K717" s="5" t="s">
        <v>37</v>
      </c>
      <c r="L717" s="5">
        <v>13</v>
      </c>
      <c r="M717" t="str" cm="1">
        <f t="array" ref="M717">_xlfn.IFS(L717&lt;=14,"Short",L717&lt;=30,"Medium",L717&lt;=45,"Long",L717&lt;=60,"Very Long")</f>
        <v>Short</v>
      </c>
      <c r="N717" s="5" t="s">
        <v>173</v>
      </c>
      <c r="O717" s="6">
        <v>7.6</v>
      </c>
    </row>
    <row r="718" spans="1:15" x14ac:dyDescent="0.25">
      <c r="A718" s="1" t="s">
        <v>777</v>
      </c>
      <c r="B718" s="2">
        <v>40</v>
      </c>
      <c r="C718" t="str" cm="1">
        <f t="array" ref="C718">_xlfn.IFS(B718&lt;=30,"Young",B718&lt;=50,"Middle-aged",B718&gt;50,"Older")</f>
        <v>Middle-aged</v>
      </c>
      <c r="D718" s="2" t="s">
        <v>19</v>
      </c>
      <c r="E718" s="2" t="s">
        <v>33</v>
      </c>
      <c r="F718" s="2">
        <f t="shared" si="47"/>
        <v>0</v>
      </c>
      <c r="G718" s="2">
        <f t="shared" si="44"/>
        <v>0</v>
      </c>
      <c r="H718" s="2">
        <f t="shared" si="45"/>
        <v>0</v>
      </c>
      <c r="I718" s="2">
        <f t="shared" si="46"/>
        <v>1</v>
      </c>
      <c r="J718" s="2">
        <v>50</v>
      </c>
      <c r="K718" s="2" t="s">
        <v>47</v>
      </c>
      <c r="L718" s="2">
        <v>37</v>
      </c>
      <c r="M718" t="str" cm="1">
        <f t="array" ref="M718">_xlfn.IFS(L718&lt;=14,"Short",L718&lt;=30,"Medium",L718&lt;=45,"Long",L718&lt;=60,"Very Long")</f>
        <v>Long</v>
      </c>
      <c r="N718" s="2" t="s">
        <v>225</v>
      </c>
      <c r="O718" s="3">
        <v>6.9</v>
      </c>
    </row>
    <row r="719" spans="1:15" x14ac:dyDescent="0.25">
      <c r="A719" s="4" t="s">
        <v>778</v>
      </c>
      <c r="B719" s="5">
        <v>34</v>
      </c>
      <c r="C719" t="str" cm="1">
        <f t="array" ref="C719">_xlfn.IFS(B719&lt;=30,"Young",B719&lt;=50,"Middle-aged",B719&gt;50,"Older")</f>
        <v>Middle-aged</v>
      </c>
      <c r="D719" s="5" t="s">
        <v>10</v>
      </c>
      <c r="E719" s="5" t="s">
        <v>20</v>
      </c>
      <c r="F719" s="5">
        <f t="shared" si="47"/>
        <v>0</v>
      </c>
      <c r="G719" s="5">
        <f t="shared" si="44"/>
        <v>1</v>
      </c>
      <c r="H719" s="5">
        <f t="shared" si="45"/>
        <v>0</v>
      </c>
      <c r="I719" s="5">
        <f t="shared" si="46"/>
        <v>0</v>
      </c>
      <c r="J719" s="5">
        <v>500</v>
      </c>
      <c r="K719" s="5" t="s">
        <v>37</v>
      </c>
      <c r="L719" s="5">
        <v>56</v>
      </c>
      <c r="M719" t="str" cm="1">
        <f t="array" ref="M719">_xlfn.IFS(L719&lt;=14,"Short",L719&lt;=30,"Medium",L719&lt;=45,"Long",L719&lt;=60,"Very Long")</f>
        <v>Very Long</v>
      </c>
      <c r="N719" s="5" t="s">
        <v>173</v>
      </c>
      <c r="O719" s="6">
        <v>8.8000000000000007</v>
      </c>
    </row>
    <row r="720" spans="1:15" x14ac:dyDescent="0.25">
      <c r="A720" s="1" t="s">
        <v>779</v>
      </c>
      <c r="B720" s="2">
        <v>43</v>
      </c>
      <c r="C720" t="str" cm="1">
        <f t="array" ref="C720">_xlfn.IFS(B720&lt;=30,"Young",B720&lt;=50,"Middle-aged",B720&gt;50,"Older")</f>
        <v>Middle-aged</v>
      </c>
      <c r="D720" s="2" t="s">
        <v>10</v>
      </c>
      <c r="E720" s="2" t="s">
        <v>24</v>
      </c>
      <c r="F720" s="2">
        <f t="shared" si="47"/>
        <v>0</v>
      </c>
      <c r="G720" s="2">
        <f t="shared" si="44"/>
        <v>0</v>
      </c>
      <c r="H720" s="2">
        <f t="shared" si="45"/>
        <v>1</v>
      </c>
      <c r="I720" s="2">
        <f t="shared" si="46"/>
        <v>0</v>
      </c>
      <c r="J720" s="2">
        <v>100</v>
      </c>
      <c r="K720" s="2" t="s">
        <v>39</v>
      </c>
      <c r="L720" s="2">
        <v>29</v>
      </c>
      <c r="M720" t="str" cm="1">
        <f t="array" ref="M720">_xlfn.IFS(L720&lt;=14,"Short",L720&lt;=30,"Medium",L720&lt;=45,"Long",L720&lt;=60,"Very Long")</f>
        <v>Medium</v>
      </c>
      <c r="N720" s="2" t="s">
        <v>13</v>
      </c>
      <c r="O720" s="3">
        <v>8.6</v>
      </c>
    </row>
    <row r="721" spans="1:15" x14ac:dyDescent="0.25">
      <c r="A721" s="4" t="s">
        <v>780</v>
      </c>
      <c r="B721" s="5">
        <v>25</v>
      </c>
      <c r="C721" t="str" cm="1">
        <f t="array" ref="C721">_xlfn.IFS(B721&lt;=30,"Young",B721&lt;=50,"Middle-aged",B721&gt;50,"Older")</f>
        <v>Young</v>
      </c>
      <c r="D721" s="5" t="s">
        <v>10</v>
      </c>
      <c r="E721" s="5" t="s">
        <v>15</v>
      </c>
      <c r="F721" s="5">
        <f t="shared" si="47"/>
        <v>1</v>
      </c>
      <c r="G721" s="5">
        <f t="shared" si="44"/>
        <v>0</v>
      </c>
      <c r="H721" s="5">
        <f t="shared" si="45"/>
        <v>0</v>
      </c>
      <c r="I721" s="5">
        <f t="shared" si="46"/>
        <v>0</v>
      </c>
      <c r="J721" s="5">
        <v>500</v>
      </c>
      <c r="K721" s="5" t="s">
        <v>16</v>
      </c>
      <c r="L721" s="5">
        <v>18</v>
      </c>
      <c r="M721" t="str" cm="1">
        <f t="array" ref="M721">_xlfn.IFS(L721&lt;=14,"Short",L721&lt;=30,"Medium",L721&lt;=45,"Long",L721&lt;=60,"Very Long")</f>
        <v>Medium</v>
      </c>
      <c r="N721" s="5" t="s">
        <v>30</v>
      </c>
      <c r="O721" s="6">
        <v>6.1</v>
      </c>
    </row>
    <row r="722" spans="1:15" x14ac:dyDescent="0.25">
      <c r="A722" s="1" t="s">
        <v>781</v>
      </c>
      <c r="B722" s="2">
        <v>46</v>
      </c>
      <c r="C722" t="str" cm="1">
        <f t="array" ref="C722">_xlfn.IFS(B722&lt;=30,"Young",B722&lt;=50,"Middle-aged",B722&gt;50,"Older")</f>
        <v>Middle-aged</v>
      </c>
      <c r="D722" s="2" t="s">
        <v>10</v>
      </c>
      <c r="E722" s="2" t="s">
        <v>11</v>
      </c>
      <c r="F722" s="2">
        <f t="shared" si="47"/>
        <v>0</v>
      </c>
      <c r="G722" s="2">
        <f t="shared" si="44"/>
        <v>0</v>
      </c>
      <c r="H722" s="2">
        <f t="shared" si="45"/>
        <v>0</v>
      </c>
      <c r="I722" s="2">
        <f t="shared" si="46"/>
        <v>0</v>
      </c>
      <c r="J722" s="2">
        <v>500</v>
      </c>
      <c r="K722" s="2" t="s">
        <v>12</v>
      </c>
      <c r="L722" s="2">
        <v>15</v>
      </c>
      <c r="M722" t="str" cm="1">
        <f t="array" ref="M722">_xlfn.IFS(L722&lt;=14,"Short",L722&lt;=30,"Medium",L722&lt;=45,"Long",L722&lt;=60,"Very Long")</f>
        <v>Medium</v>
      </c>
      <c r="N722" s="2" t="s">
        <v>13</v>
      </c>
      <c r="O722" s="3">
        <v>5</v>
      </c>
    </row>
    <row r="723" spans="1:15" x14ac:dyDescent="0.25">
      <c r="A723" s="4" t="s">
        <v>782</v>
      </c>
      <c r="B723" s="5">
        <v>43</v>
      </c>
      <c r="C723" t="str" cm="1">
        <f t="array" ref="C723">_xlfn.IFS(B723&lt;=30,"Young",B723&lt;=50,"Middle-aged",B723&gt;50,"Older")</f>
        <v>Middle-aged</v>
      </c>
      <c r="D723" s="5" t="s">
        <v>19</v>
      </c>
      <c r="E723" s="5" t="s">
        <v>11</v>
      </c>
      <c r="F723" s="5">
        <f t="shared" si="47"/>
        <v>0</v>
      </c>
      <c r="G723" s="5">
        <f t="shared" si="44"/>
        <v>0</v>
      </c>
      <c r="H723" s="5">
        <f t="shared" si="45"/>
        <v>0</v>
      </c>
      <c r="I723" s="5">
        <f t="shared" si="46"/>
        <v>0</v>
      </c>
      <c r="J723" s="5">
        <v>250</v>
      </c>
      <c r="K723" s="5" t="s">
        <v>12</v>
      </c>
      <c r="L723" s="5">
        <v>57</v>
      </c>
      <c r="M723" t="str" cm="1">
        <f t="array" ref="M723">_xlfn.IFS(L723&lt;=14,"Short",L723&lt;=30,"Medium",L723&lt;=45,"Long",L723&lt;=60,"Very Long")</f>
        <v>Very Long</v>
      </c>
      <c r="N723" s="5" t="s">
        <v>13</v>
      </c>
      <c r="O723" s="6">
        <v>6.7</v>
      </c>
    </row>
    <row r="724" spans="1:15" x14ac:dyDescent="0.25">
      <c r="A724" s="1" t="s">
        <v>783</v>
      </c>
      <c r="B724" s="2">
        <v>27</v>
      </c>
      <c r="C724" t="str" cm="1">
        <f t="array" ref="C724">_xlfn.IFS(B724&lt;=30,"Young",B724&lt;=50,"Middle-aged",B724&gt;50,"Older")</f>
        <v>Young</v>
      </c>
      <c r="D724" s="2" t="s">
        <v>10</v>
      </c>
      <c r="E724" s="2" t="s">
        <v>15</v>
      </c>
      <c r="F724" s="2">
        <f t="shared" si="47"/>
        <v>1</v>
      </c>
      <c r="G724" s="2">
        <f t="shared" si="44"/>
        <v>0</v>
      </c>
      <c r="H724" s="2">
        <f t="shared" si="45"/>
        <v>0</v>
      </c>
      <c r="I724" s="2">
        <f t="shared" si="46"/>
        <v>0</v>
      </c>
      <c r="J724" s="2">
        <v>100</v>
      </c>
      <c r="K724" s="2" t="s">
        <v>44</v>
      </c>
      <c r="L724" s="2">
        <v>39</v>
      </c>
      <c r="M724" t="str" cm="1">
        <f t="array" ref="M724">_xlfn.IFS(L724&lt;=14,"Short",L724&lt;=30,"Medium",L724&lt;=45,"Long",L724&lt;=60,"Very Long")</f>
        <v>Long</v>
      </c>
      <c r="N724" s="2" t="s">
        <v>30</v>
      </c>
      <c r="O724" s="3">
        <v>5.8</v>
      </c>
    </row>
    <row r="725" spans="1:15" x14ac:dyDescent="0.25">
      <c r="A725" s="4" t="s">
        <v>784</v>
      </c>
      <c r="B725" s="5">
        <v>43</v>
      </c>
      <c r="C725" t="str" cm="1">
        <f t="array" ref="C725">_xlfn.IFS(B725&lt;=30,"Young",B725&lt;=50,"Middle-aged",B725&gt;50,"Older")</f>
        <v>Middle-aged</v>
      </c>
      <c r="D725" s="5" t="s">
        <v>10</v>
      </c>
      <c r="E725" s="5" t="s">
        <v>15</v>
      </c>
      <c r="F725" s="5">
        <f t="shared" si="47"/>
        <v>1</v>
      </c>
      <c r="G725" s="5">
        <f t="shared" si="44"/>
        <v>0</v>
      </c>
      <c r="H725" s="5">
        <f t="shared" si="45"/>
        <v>0</v>
      </c>
      <c r="I725" s="5">
        <f t="shared" si="46"/>
        <v>0</v>
      </c>
      <c r="J725" s="5">
        <v>250</v>
      </c>
      <c r="K725" s="5" t="s">
        <v>16</v>
      </c>
      <c r="L725" s="5">
        <v>45</v>
      </c>
      <c r="M725" t="str" cm="1">
        <f t="array" ref="M725">_xlfn.IFS(L725&lt;=14,"Short",L725&lt;=30,"Medium",L725&lt;=45,"Long",L725&lt;=60,"Very Long")</f>
        <v>Long</v>
      </c>
      <c r="N725" s="5" t="s">
        <v>308</v>
      </c>
      <c r="O725" s="6">
        <v>6.9</v>
      </c>
    </row>
    <row r="726" spans="1:15" x14ac:dyDescent="0.25">
      <c r="A726" s="1" t="s">
        <v>785</v>
      </c>
      <c r="B726" s="2">
        <v>79</v>
      </c>
      <c r="C726" t="str" cm="1">
        <f t="array" ref="C726">_xlfn.IFS(B726&lt;=30,"Young",B726&lt;=50,"Middle-aged",B726&gt;50,"Older")</f>
        <v>Older</v>
      </c>
      <c r="D726" s="2" t="s">
        <v>10</v>
      </c>
      <c r="E726" s="2" t="s">
        <v>24</v>
      </c>
      <c r="F726" s="2">
        <f t="shared" si="47"/>
        <v>0</v>
      </c>
      <c r="G726" s="2">
        <f t="shared" si="44"/>
        <v>0</v>
      </c>
      <c r="H726" s="2">
        <f t="shared" si="45"/>
        <v>1</v>
      </c>
      <c r="I726" s="2">
        <f t="shared" si="46"/>
        <v>0</v>
      </c>
      <c r="J726" s="2">
        <v>50</v>
      </c>
      <c r="K726" s="2" t="s">
        <v>59</v>
      </c>
      <c r="L726" s="2">
        <v>18</v>
      </c>
      <c r="M726" t="str" cm="1">
        <f t="array" ref="M726">_xlfn.IFS(L726&lt;=14,"Short",L726&lt;=30,"Medium",L726&lt;=45,"Long",L726&lt;=60,"Very Long")</f>
        <v>Medium</v>
      </c>
      <c r="N726" s="2" t="s">
        <v>150</v>
      </c>
      <c r="O726" s="3">
        <v>8.9</v>
      </c>
    </row>
    <row r="727" spans="1:15" x14ac:dyDescent="0.25">
      <c r="A727" s="4" t="s">
        <v>786</v>
      </c>
      <c r="B727" s="5">
        <v>51</v>
      </c>
      <c r="C727" t="str" cm="1">
        <f t="array" ref="C727">_xlfn.IFS(B727&lt;=30,"Young",B727&lt;=50,"Middle-aged",B727&gt;50,"Older")</f>
        <v>Older</v>
      </c>
      <c r="D727" s="5" t="s">
        <v>10</v>
      </c>
      <c r="E727" s="5" t="s">
        <v>20</v>
      </c>
      <c r="F727" s="5">
        <f t="shared" si="47"/>
        <v>0</v>
      </c>
      <c r="G727" s="5">
        <f t="shared" si="44"/>
        <v>1</v>
      </c>
      <c r="H727" s="5">
        <f t="shared" si="45"/>
        <v>0</v>
      </c>
      <c r="I727" s="5">
        <f t="shared" si="46"/>
        <v>0</v>
      </c>
      <c r="J727" s="5">
        <v>100</v>
      </c>
      <c r="K727" s="5" t="s">
        <v>55</v>
      </c>
      <c r="L727" s="5">
        <v>34</v>
      </c>
      <c r="M727" t="str" cm="1">
        <f t="array" ref="M727">_xlfn.IFS(L727&lt;=14,"Short",L727&lt;=30,"Medium",L727&lt;=45,"Long",L727&lt;=60,"Very Long")</f>
        <v>Long</v>
      </c>
      <c r="N727" s="5" t="s">
        <v>78</v>
      </c>
      <c r="O727" s="6">
        <v>6.3</v>
      </c>
    </row>
    <row r="728" spans="1:15" x14ac:dyDescent="0.25">
      <c r="A728" s="1" t="s">
        <v>787</v>
      </c>
      <c r="B728" s="2">
        <v>68</v>
      </c>
      <c r="C728" t="str" cm="1">
        <f t="array" ref="C728">_xlfn.IFS(B728&lt;=30,"Young",B728&lt;=50,"Middle-aged",B728&gt;50,"Older")</f>
        <v>Older</v>
      </c>
      <c r="D728" s="2" t="s">
        <v>19</v>
      </c>
      <c r="E728" s="2" t="s">
        <v>11</v>
      </c>
      <c r="F728" s="2">
        <f t="shared" si="47"/>
        <v>0</v>
      </c>
      <c r="G728" s="2">
        <f t="shared" si="44"/>
        <v>0</v>
      </c>
      <c r="H728" s="2">
        <f t="shared" si="45"/>
        <v>0</v>
      </c>
      <c r="I728" s="2">
        <f t="shared" si="46"/>
        <v>0</v>
      </c>
      <c r="J728" s="2">
        <v>500</v>
      </c>
      <c r="K728" s="2" t="s">
        <v>84</v>
      </c>
      <c r="L728" s="2">
        <v>45</v>
      </c>
      <c r="M728" t="str" cm="1">
        <f t="array" ref="M728">_xlfn.IFS(L728&lt;=14,"Short",L728&lt;=30,"Medium",L728&lt;=45,"Long",L728&lt;=60,"Very Long")</f>
        <v>Long</v>
      </c>
      <c r="N728" s="2" t="s">
        <v>85</v>
      </c>
      <c r="O728" s="3">
        <v>6.9</v>
      </c>
    </row>
    <row r="729" spans="1:15" x14ac:dyDescent="0.25">
      <c r="A729" s="4" t="s">
        <v>788</v>
      </c>
      <c r="B729" s="5">
        <v>58</v>
      </c>
      <c r="C729" t="str" cm="1">
        <f t="array" ref="C729">_xlfn.IFS(B729&lt;=30,"Young",B729&lt;=50,"Middle-aged",B729&gt;50,"Older")</f>
        <v>Older</v>
      </c>
      <c r="D729" s="5" t="s">
        <v>19</v>
      </c>
      <c r="E729" s="5" t="s">
        <v>24</v>
      </c>
      <c r="F729" s="5">
        <f t="shared" si="47"/>
        <v>0</v>
      </c>
      <c r="G729" s="5">
        <f t="shared" si="44"/>
        <v>0</v>
      </c>
      <c r="H729" s="5">
        <f t="shared" si="45"/>
        <v>1</v>
      </c>
      <c r="I729" s="5">
        <f t="shared" si="46"/>
        <v>0</v>
      </c>
      <c r="J729" s="5">
        <v>100</v>
      </c>
      <c r="K729" s="5" t="s">
        <v>59</v>
      </c>
      <c r="L729" s="5">
        <v>8</v>
      </c>
      <c r="M729" t="str" cm="1">
        <f t="array" ref="M729">_xlfn.IFS(L729&lt;=14,"Short",L729&lt;=30,"Medium",L729&lt;=45,"Long",L729&lt;=60,"Very Long")</f>
        <v>Short</v>
      </c>
      <c r="N729" s="5" t="s">
        <v>150</v>
      </c>
      <c r="O729" s="6">
        <v>7.1</v>
      </c>
    </row>
    <row r="730" spans="1:15" x14ac:dyDescent="0.25">
      <c r="A730" s="1" t="s">
        <v>789</v>
      </c>
      <c r="B730" s="2">
        <v>24</v>
      </c>
      <c r="C730" t="str" cm="1">
        <f t="array" ref="C730">_xlfn.IFS(B730&lt;=30,"Young",B730&lt;=50,"Middle-aged",B730&gt;50,"Older")</f>
        <v>Young</v>
      </c>
      <c r="D730" s="2" t="s">
        <v>10</v>
      </c>
      <c r="E730" s="2" t="s">
        <v>20</v>
      </c>
      <c r="F730" s="2">
        <f t="shared" si="47"/>
        <v>0</v>
      </c>
      <c r="G730" s="2">
        <f t="shared" si="44"/>
        <v>1</v>
      </c>
      <c r="H730" s="2">
        <f t="shared" si="45"/>
        <v>0</v>
      </c>
      <c r="I730" s="2">
        <f t="shared" si="46"/>
        <v>0</v>
      </c>
      <c r="J730" s="2">
        <v>850</v>
      </c>
      <c r="K730" s="2" t="s">
        <v>37</v>
      </c>
      <c r="L730" s="2">
        <v>8</v>
      </c>
      <c r="M730" t="str" cm="1">
        <f t="array" ref="M730">_xlfn.IFS(L730&lt;=14,"Short",L730&lt;=30,"Medium",L730&lt;=45,"Long",L730&lt;=60,"Very Long")</f>
        <v>Short</v>
      </c>
      <c r="N730" s="2" t="s">
        <v>173</v>
      </c>
      <c r="O730" s="3">
        <v>8.3000000000000007</v>
      </c>
    </row>
    <row r="731" spans="1:15" x14ac:dyDescent="0.25">
      <c r="A731" s="4" t="s">
        <v>790</v>
      </c>
      <c r="B731" s="5">
        <v>21</v>
      </c>
      <c r="C731" t="str" cm="1">
        <f t="array" ref="C731">_xlfn.IFS(B731&lt;=30,"Young",B731&lt;=50,"Middle-aged",B731&gt;50,"Older")</f>
        <v>Young</v>
      </c>
      <c r="D731" s="5" t="s">
        <v>10</v>
      </c>
      <c r="E731" s="5" t="s">
        <v>24</v>
      </c>
      <c r="F731" s="5">
        <f t="shared" si="47"/>
        <v>0</v>
      </c>
      <c r="G731" s="5">
        <f t="shared" si="44"/>
        <v>0</v>
      </c>
      <c r="H731" s="5">
        <f t="shared" si="45"/>
        <v>1</v>
      </c>
      <c r="I731" s="5">
        <f t="shared" si="46"/>
        <v>0</v>
      </c>
      <c r="J731" s="5">
        <v>500</v>
      </c>
      <c r="K731" s="5" t="s">
        <v>25</v>
      </c>
      <c r="L731" s="5">
        <v>32</v>
      </c>
      <c r="M731" t="str" cm="1">
        <f t="array" ref="M731">_xlfn.IFS(L731&lt;=14,"Short",L731&lt;=30,"Medium",L731&lt;=45,"Long",L731&lt;=60,"Very Long")</f>
        <v>Long</v>
      </c>
      <c r="N731" s="5" t="s">
        <v>13</v>
      </c>
      <c r="O731" s="6">
        <v>3.6</v>
      </c>
    </row>
    <row r="732" spans="1:15" x14ac:dyDescent="0.25">
      <c r="A732" s="1" t="s">
        <v>791</v>
      </c>
      <c r="B732" s="2">
        <v>75</v>
      </c>
      <c r="C732" t="str" cm="1">
        <f t="array" ref="C732">_xlfn.IFS(B732&lt;=30,"Young",B732&lt;=50,"Middle-aged",B732&gt;50,"Older")</f>
        <v>Older</v>
      </c>
      <c r="D732" s="2" t="s">
        <v>10</v>
      </c>
      <c r="E732" s="2" t="s">
        <v>11</v>
      </c>
      <c r="F732" s="2">
        <f t="shared" si="47"/>
        <v>0</v>
      </c>
      <c r="G732" s="2">
        <f t="shared" si="44"/>
        <v>0</v>
      </c>
      <c r="H732" s="2">
        <f t="shared" si="45"/>
        <v>0</v>
      </c>
      <c r="I732" s="2">
        <f t="shared" si="46"/>
        <v>0</v>
      </c>
      <c r="J732" s="2">
        <v>50</v>
      </c>
      <c r="K732" s="2" t="s">
        <v>84</v>
      </c>
      <c r="L732" s="2">
        <v>12</v>
      </c>
      <c r="M732" t="str" cm="1">
        <f t="array" ref="M732">_xlfn.IFS(L732&lt;=14,"Short",L732&lt;=30,"Medium",L732&lt;=45,"Long",L732&lt;=60,"Very Long")</f>
        <v>Short</v>
      </c>
      <c r="N732" s="2" t="s">
        <v>93</v>
      </c>
      <c r="O732" s="3">
        <v>6.1</v>
      </c>
    </row>
    <row r="733" spans="1:15" x14ac:dyDescent="0.25">
      <c r="A733" s="4" t="s">
        <v>792</v>
      </c>
      <c r="B733" s="5">
        <v>70</v>
      </c>
      <c r="C733" t="str" cm="1">
        <f t="array" ref="C733">_xlfn.IFS(B733&lt;=30,"Young",B733&lt;=50,"Middle-aged",B733&gt;50,"Older")</f>
        <v>Older</v>
      </c>
      <c r="D733" s="5" t="s">
        <v>10</v>
      </c>
      <c r="E733" s="5" t="s">
        <v>15</v>
      </c>
      <c r="F733" s="5">
        <f t="shared" si="47"/>
        <v>1</v>
      </c>
      <c r="G733" s="5">
        <f t="shared" si="44"/>
        <v>0</v>
      </c>
      <c r="H733" s="5">
        <f t="shared" si="45"/>
        <v>0</v>
      </c>
      <c r="I733" s="5">
        <f t="shared" si="46"/>
        <v>0</v>
      </c>
      <c r="J733" s="5">
        <v>850</v>
      </c>
      <c r="K733" s="5" t="s">
        <v>44</v>
      </c>
      <c r="L733" s="5">
        <v>6</v>
      </c>
      <c r="M733" t="str" cm="1">
        <f t="array" ref="M733">_xlfn.IFS(L733&lt;=14,"Short",L733&lt;=30,"Medium",L733&lt;=45,"Long",L733&lt;=60,"Very Long")</f>
        <v>Short</v>
      </c>
      <c r="N733" s="5" t="s">
        <v>101</v>
      </c>
      <c r="O733" s="6">
        <v>7.3</v>
      </c>
    </row>
    <row r="734" spans="1:15" x14ac:dyDescent="0.25">
      <c r="A734" s="1" t="s">
        <v>793</v>
      </c>
      <c r="B734" s="2">
        <v>67</v>
      </c>
      <c r="C734" t="str" cm="1">
        <f t="array" ref="C734">_xlfn.IFS(B734&lt;=30,"Young",B734&lt;=50,"Middle-aged",B734&gt;50,"Older")</f>
        <v>Older</v>
      </c>
      <c r="D734" s="2" t="s">
        <v>10</v>
      </c>
      <c r="E734" s="2" t="s">
        <v>15</v>
      </c>
      <c r="F734" s="2">
        <f t="shared" si="47"/>
        <v>1</v>
      </c>
      <c r="G734" s="2">
        <f t="shared" si="44"/>
        <v>0</v>
      </c>
      <c r="H734" s="2">
        <f t="shared" si="45"/>
        <v>0</v>
      </c>
      <c r="I734" s="2">
        <f t="shared" si="46"/>
        <v>0</v>
      </c>
      <c r="J734" s="2">
        <v>850</v>
      </c>
      <c r="K734" s="2" t="s">
        <v>63</v>
      </c>
      <c r="L734" s="2">
        <v>45</v>
      </c>
      <c r="M734" t="str" cm="1">
        <f t="array" ref="M734">_xlfn.IFS(L734&lt;=14,"Short",L734&lt;=30,"Medium",L734&lt;=45,"Long",L734&lt;=60,"Very Long")</f>
        <v>Long</v>
      </c>
      <c r="N734" s="2" t="s">
        <v>64</v>
      </c>
      <c r="O734" s="3">
        <v>8.8000000000000007</v>
      </c>
    </row>
    <row r="735" spans="1:15" x14ac:dyDescent="0.25">
      <c r="A735" s="4" t="s">
        <v>794</v>
      </c>
      <c r="B735" s="5">
        <v>62</v>
      </c>
      <c r="C735" t="str" cm="1">
        <f t="array" ref="C735">_xlfn.IFS(B735&lt;=30,"Young",B735&lt;=50,"Middle-aged",B735&gt;50,"Older")</f>
        <v>Older</v>
      </c>
      <c r="D735" s="5" t="s">
        <v>10</v>
      </c>
      <c r="E735" s="5" t="s">
        <v>20</v>
      </c>
      <c r="F735" s="5">
        <f t="shared" si="47"/>
        <v>0</v>
      </c>
      <c r="G735" s="5">
        <f t="shared" si="44"/>
        <v>1</v>
      </c>
      <c r="H735" s="5">
        <f t="shared" si="45"/>
        <v>0</v>
      </c>
      <c r="I735" s="5">
        <f t="shared" si="46"/>
        <v>0</v>
      </c>
      <c r="J735" s="5">
        <v>500</v>
      </c>
      <c r="K735" s="5" t="s">
        <v>37</v>
      </c>
      <c r="L735" s="5">
        <v>50</v>
      </c>
      <c r="M735" t="str" cm="1">
        <f t="array" ref="M735">_xlfn.IFS(L735&lt;=14,"Short",L735&lt;=30,"Medium",L735&lt;=45,"Long",L735&lt;=60,"Very Long")</f>
        <v>Very Long</v>
      </c>
      <c r="N735" s="5" t="s">
        <v>13</v>
      </c>
      <c r="O735" s="6">
        <v>6.3</v>
      </c>
    </row>
    <row r="736" spans="1:15" x14ac:dyDescent="0.25">
      <c r="A736" s="1" t="s">
        <v>795</v>
      </c>
      <c r="B736" s="2">
        <v>28</v>
      </c>
      <c r="C736" t="str" cm="1">
        <f t="array" ref="C736">_xlfn.IFS(B736&lt;=30,"Young",B736&lt;=50,"Middle-aged",B736&gt;50,"Older")</f>
        <v>Young</v>
      </c>
      <c r="D736" s="2" t="s">
        <v>19</v>
      </c>
      <c r="E736" s="2" t="s">
        <v>33</v>
      </c>
      <c r="F736" s="2">
        <f t="shared" si="47"/>
        <v>0</v>
      </c>
      <c r="G736" s="2">
        <f t="shared" si="44"/>
        <v>0</v>
      </c>
      <c r="H736" s="2">
        <f t="shared" si="45"/>
        <v>0</v>
      </c>
      <c r="I736" s="2">
        <f t="shared" si="46"/>
        <v>1</v>
      </c>
      <c r="J736" s="2">
        <v>100</v>
      </c>
      <c r="K736" s="2" t="s">
        <v>47</v>
      </c>
      <c r="L736" s="2">
        <v>26</v>
      </c>
      <c r="M736" t="str" cm="1">
        <f t="array" ref="M736">_xlfn.IFS(L736&lt;=14,"Short",L736&lt;=30,"Medium",L736&lt;=45,"Long",L736&lt;=60,"Very Long")</f>
        <v>Medium</v>
      </c>
      <c r="N736" s="2" t="s">
        <v>225</v>
      </c>
      <c r="O736" s="3">
        <v>4.2</v>
      </c>
    </row>
    <row r="737" spans="1:15" x14ac:dyDescent="0.25">
      <c r="A737" s="4" t="s">
        <v>796</v>
      </c>
      <c r="B737" s="5">
        <v>46</v>
      </c>
      <c r="C737" t="str" cm="1">
        <f t="array" ref="C737">_xlfn.IFS(B737&lt;=30,"Young",B737&lt;=50,"Middle-aged",B737&gt;50,"Older")</f>
        <v>Middle-aged</v>
      </c>
      <c r="D737" s="5" t="s">
        <v>10</v>
      </c>
      <c r="E737" s="5" t="s">
        <v>20</v>
      </c>
      <c r="F737" s="5">
        <f t="shared" si="47"/>
        <v>0</v>
      </c>
      <c r="G737" s="5">
        <f t="shared" si="44"/>
        <v>1</v>
      </c>
      <c r="H737" s="5">
        <f t="shared" si="45"/>
        <v>0</v>
      </c>
      <c r="I737" s="5">
        <f t="shared" si="46"/>
        <v>0</v>
      </c>
      <c r="J737" s="5">
        <v>100</v>
      </c>
      <c r="K737" s="5" t="s">
        <v>21</v>
      </c>
      <c r="L737" s="5">
        <v>45</v>
      </c>
      <c r="M737" t="str" cm="1">
        <f t="array" ref="M737">_xlfn.IFS(L737&lt;=14,"Short",L737&lt;=30,"Medium",L737&lt;=45,"Long",L737&lt;=60,"Very Long")</f>
        <v>Long</v>
      </c>
      <c r="N737" s="5" t="s">
        <v>28</v>
      </c>
      <c r="O737" s="6">
        <v>7.9</v>
      </c>
    </row>
    <row r="738" spans="1:15" x14ac:dyDescent="0.25">
      <c r="A738" s="1" t="s">
        <v>797</v>
      </c>
      <c r="B738" s="2">
        <v>73</v>
      </c>
      <c r="C738" t="str" cm="1">
        <f t="array" ref="C738">_xlfn.IFS(B738&lt;=30,"Young",B738&lt;=50,"Middle-aged",B738&gt;50,"Older")</f>
        <v>Older</v>
      </c>
      <c r="D738" s="2" t="s">
        <v>19</v>
      </c>
      <c r="E738" s="2" t="s">
        <v>33</v>
      </c>
      <c r="F738" s="2">
        <f t="shared" si="47"/>
        <v>0</v>
      </c>
      <c r="G738" s="2">
        <f t="shared" si="44"/>
        <v>0</v>
      </c>
      <c r="H738" s="2">
        <f t="shared" si="45"/>
        <v>0</v>
      </c>
      <c r="I738" s="2">
        <f t="shared" si="46"/>
        <v>1</v>
      </c>
      <c r="J738" s="2">
        <v>50</v>
      </c>
      <c r="K738" s="2" t="s">
        <v>34</v>
      </c>
      <c r="L738" s="2">
        <v>59</v>
      </c>
      <c r="M738" t="str" cm="1">
        <f t="array" ref="M738">_xlfn.IFS(L738&lt;=14,"Short",L738&lt;=30,"Medium",L738&lt;=45,"Long",L738&lt;=60,"Very Long")</f>
        <v>Very Long</v>
      </c>
      <c r="N738" s="2" t="s">
        <v>97</v>
      </c>
      <c r="O738" s="3">
        <v>6</v>
      </c>
    </row>
    <row r="739" spans="1:15" x14ac:dyDescent="0.25">
      <c r="A739" s="4" t="s">
        <v>798</v>
      </c>
      <c r="B739" s="5">
        <v>53</v>
      </c>
      <c r="C739" t="str" cm="1">
        <f t="array" ref="C739">_xlfn.IFS(B739&lt;=30,"Young",B739&lt;=50,"Middle-aged",B739&gt;50,"Older")</f>
        <v>Older</v>
      </c>
      <c r="D739" s="5" t="s">
        <v>19</v>
      </c>
      <c r="E739" s="5" t="s">
        <v>24</v>
      </c>
      <c r="F739" s="5">
        <f t="shared" si="47"/>
        <v>0</v>
      </c>
      <c r="G739" s="5">
        <f t="shared" si="44"/>
        <v>0</v>
      </c>
      <c r="H739" s="5">
        <f t="shared" si="45"/>
        <v>1</v>
      </c>
      <c r="I739" s="5">
        <f t="shared" si="46"/>
        <v>0</v>
      </c>
      <c r="J739" s="5">
        <v>850</v>
      </c>
      <c r="K739" s="5" t="s">
        <v>25</v>
      </c>
      <c r="L739" s="5">
        <v>20</v>
      </c>
      <c r="M739" t="str" cm="1">
        <f t="array" ref="M739">_xlfn.IFS(L739&lt;=14,"Short",L739&lt;=30,"Medium",L739&lt;=45,"Long",L739&lt;=60,"Very Long")</f>
        <v>Medium</v>
      </c>
      <c r="N739" s="5" t="s">
        <v>26</v>
      </c>
      <c r="O739" s="6">
        <v>5.2</v>
      </c>
    </row>
    <row r="740" spans="1:15" x14ac:dyDescent="0.25">
      <c r="A740" s="1" t="s">
        <v>799</v>
      </c>
      <c r="B740" s="2">
        <v>42</v>
      </c>
      <c r="C740" t="str" cm="1">
        <f t="array" ref="C740">_xlfn.IFS(B740&lt;=30,"Young",B740&lt;=50,"Middle-aged",B740&gt;50,"Older")</f>
        <v>Middle-aged</v>
      </c>
      <c r="D740" s="2" t="s">
        <v>10</v>
      </c>
      <c r="E740" s="2" t="s">
        <v>24</v>
      </c>
      <c r="F740" s="2">
        <f t="shared" si="47"/>
        <v>0</v>
      </c>
      <c r="G740" s="2">
        <f t="shared" si="44"/>
        <v>0</v>
      </c>
      <c r="H740" s="2">
        <f t="shared" si="45"/>
        <v>1</v>
      </c>
      <c r="I740" s="2">
        <f t="shared" si="46"/>
        <v>0</v>
      </c>
      <c r="J740" s="2">
        <v>250</v>
      </c>
      <c r="K740" s="2" t="s">
        <v>39</v>
      </c>
      <c r="L740" s="2">
        <v>33</v>
      </c>
      <c r="M740" t="str" cm="1">
        <f t="array" ref="M740">_xlfn.IFS(L740&lt;=14,"Short",L740&lt;=30,"Medium",L740&lt;=45,"Long",L740&lt;=60,"Very Long")</f>
        <v>Long</v>
      </c>
      <c r="N740" s="2" t="s">
        <v>85</v>
      </c>
      <c r="O740" s="3">
        <v>6.1</v>
      </c>
    </row>
    <row r="741" spans="1:15" x14ac:dyDescent="0.25">
      <c r="A741" s="4" t="s">
        <v>800</v>
      </c>
      <c r="B741" s="5">
        <v>38</v>
      </c>
      <c r="C741" t="str" cm="1">
        <f t="array" ref="C741">_xlfn.IFS(B741&lt;=30,"Young",B741&lt;=50,"Middle-aged",B741&gt;50,"Older")</f>
        <v>Middle-aged</v>
      </c>
      <c r="D741" s="5" t="s">
        <v>19</v>
      </c>
      <c r="E741" s="5" t="s">
        <v>11</v>
      </c>
      <c r="F741" s="5">
        <f t="shared" si="47"/>
        <v>0</v>
      </c>
      <c r="G741" s="5">
        <f t="shared" si="44"/>
        <v>0</v>
      </c>
      <c r="H741" s="5">
        <f t="shared" si="45"/>
        <v>0</v>
      </c>
      <c r="I741" s="5">
        <f t="shared" si="46"/>
        <v>0</v>
      </c>
      <c r="J741" s="5">
        <v>500</v>
      </c>
      <c r="K741" s="5" t="s">
        <v>12</v>
      </c>
      <c r="L741" s="5">
        <v>53</v>
      </c>
      <c r="M741" t="str" cm="1">
        <f t="array" ref="M741">_xlfn.IFS(L741&lt;=14,"Short",L741&lt;=30,"Medium",L741&lt;=45,"Long",L741&lt;=60,"Very Long")</f>
        <v>Very Long</v>
      </c>
      <c r="N741" s="5" t="s">
        <v>120</v>
      </c>
      <c r="O741" s="6">
        <v>6.7</v>
      </c>
    </row>
    <row r="742" spans="1:15" x14ac:dyDescent="0.25">
      <c r="A742" s="1" t="s">
        <v>801</v>
      </c>
      <c r="B742" s="2">
        <v>78</v>
      </c>
      <c r="C742" t="str" cm="1">
        <f t="array" ref="C742">_xlfn.IFS(B742&lt;=30,"Young",B742&lt;=50,"Middle-aged",B742&gt;50,"Older")</f>
        <v>Older</v>
      </c>
      <c r="D742" s="2" t="s">
        <v>19</v>
      </c>
      <c r="E742" s="2" t="s">
        <v>33</v>
      </c>
      <c r="F742" s="2">
        <f t="shared" si="47"/>
        <v>0</v>
      </c>
      <c r="G742" s="2">
        <f t="shared" si="44"/>
        <v>0</v>
      </c>
      <c r="H742" s="2">
        <f t="shared" si="45"/>
        <v>0</v>
      </c>
      <c r="I742" s="2">
        <f t="shared" si="46"/>
        <v>1</v>
      </c>
      <c r="J742" s="2">
        <v>250</v>
      </c>
      <c r="K742" s="2" t="s">
        <v>49</v>
      </c>
      <c r="L742" s="2">
        <v>52</v>
      </c>
      <c r="M742" t="str" cm="1">
        <f t="array" ref="M742">_xlfn.IFS(L742&lt;=14,"Short",L742&lt;=30,"Medium",L742&lt;=45,"Long",L742&lt;=60,"Very Long")</f>
        <v>Very Long</v>
      </c>
      <c r="N742" s="2" t="s">
        <v>13</v>
      </c>
      <c r="O742" s="3">
        <v>6.1</v>
      </c>
    </row>
    <row r="743" spans="1:15" x14ac:dyDescent="0.25">
      <c r="A743" s="4" t="s">
        <v>802</v>
      </c>
      <c r="B743" s="5">
        <v>74</v>
      </c>
      <c r="C743" t="str" cm="1">
        <f t="array" ref="C743">_xlfn.IFS(B743&lt;=30,"Young",B743&lt;=50,"Middle-aged",B743&gt;50,"Older")</f>
        <v>Older</v>
      </c>
      <c r="D743" s="5" t="s">
        <v>19</v>
      </c>
      <c r="E743" s="5" t="s">
        <v>11</v>
      </c>
      <c r="F743" s="5">
        <f t="shared" si="47"/>
        <v>0</v>
      </c>
      <c r="G743" s="5">
        <f t="shared" si="44"/>
        <v>0</v>
      </c>
      <c r="H743" s="5">
        <f t="shared" si="45"/>
        <v>0</v>
      </c>
      <c r="I743" s="5">
        <f t="shared" si="46"/>
        <v>0</v>
      </c>
      <c r="J743" s="5">
        <v>500</v>
      </c>
      <c r="K743" s="5" t="s">
        <v>84</v>
      </c>
      <c r="L743" s="5">
        <v>34</v>
      </c>
      <c r="M743" t="str" cm="1">
        <f t="array" ref="M743">_xlfn.IFS(L743&lt;=14,"Short",L743&lt;=30,"Medium",L743&lt;=45,"Long",L743&lt;=60,"Very Long")</f>
        <v>Long</v>
      </c>
      <c r="N743" s="5" t="s">
        <v>93</v>
      </c>
      <c r="O743" s="6">
        <v>3.7</v>
      </c>
    </row>
    <row r="744" spans="1:15" x14ac:dyDescent="0.25">
      <c r="A744" s="1" t="s">
        <v>803</v>
      </c>
      <c r="B744" s="2">
        <v>53</v>
      </c>
      <c r="C744" t="str" cm="1">
        <f t="array" ref="C744">_xlfn.IFS(B744&lt;=30,"Young",B744&lt;=50,"Middle-aged",B744&gt;50,"Older")</f>
        <v>Older</v>
      </c>
      <c r="D744" s="2" t="s">
        <v>19</v>
      </c>
      <c r="E744" s="2" t="s">
        <v>15</v>
      </c>
      <c r="F744" s="2">
        <f t="shared" si="47"/>
        <v>1</v>
      </c>
      <c r="G744" s="2">
        <f t="shared" si="44"/>
        <v>0</v>
      </c>
      <c r="H744" s="2">
        <f t="shared" si="45"/>
        <v>0</v>
      </c>
      <c r="I744" s="2">
        <f t="shared" si="46"/>
        <v>0</v>
      </c>
      <c r="J744" s="2">
        <v>50</v>
      </c>
      <c r="K744" s="2" t="s">
        <v>16</v>
      </c>
      <c r="L744" s="2">
        <v>16</v>
      </c>
      <c r="M744" t="str" cm="1">
        <f t="array" ref="M744">_xlfn.IFS(L744&lt;=14,"Short",L744&lt;=30,"Medium",L744&lt;=45,"Long",L744&lt;=60,"Very Long")</f>
        <v>Medium</v>
      </c>
      <c r="N744" s="2" t="s">
        <v>308</v>
      </c>
      <c r="O744" s="3">
        <v>8.3000000000000007</v>
      </c>
    </row>
    <row r="745" spans="1:15" x14ac:dyDescent="0.25">
      <c r="A745" s="4" t="s">
        <v>804</v>
      </c>
      <c r="B745" s="5">
        <v>27</v>
      </c>
      <c r="C745" t="str" cm="1">
        <f t="array" ref="C745">_xlfn.IFS(B745&lt;=30,"Young",B745&lt;=50,"Middle-aged",B745&gt;50,"Older")</f>
        <v>Young</v>
      </c>
      <c r="D745" s="5" t="s">
        <v>19</v>
      </c>
      <c r="E745" s="5" t="s">
        <v>33</v>
      </c>
      <c r="F745" s="5">
        <f t="shared" si="47"/>
        <v>0</v>
      </c>
      <c r="G745" s="5">
        <f t="shared" si="44"/>
        <v>0</v>
      </c>
      <c r="H745" s="5">
        <f t="shared" si="45"/>
        <v>0</v>
      </c>
      <c r="I745" s="5">
        <f t="shared" si="46"/>
        <v>1</v>
      </c>
      <c r="J745" s="5">
        <v>100</v>
      </c>
      <c r="K745" s="5" t="s">
        <v>47</v>
      </c>
      <c r="L745" s="5">
        <v>39</v>
      </c>
      <c r="M745" t="str" cm="1">
        <f t="array" ref="M745">_xlfn.IFS(L745&lt;=14,"Short",L745&lt;=30,"Medium",L745&lt;=45,"Long",L745&lt;=60,"Very Long")</f>
        <v>Long</v>
      </c>
      <c r="N745" s="5" t="s">
        <v>225</v>
      </c>
      <c r="O745" s="6">
        <v>8.9</v>
      </c>
    </row>
    <row r="746" spans="1:15" x14ac:dyDescent="0.25">
      <c r="A746" s="1" t="s">
        <v>805</v>
      </c>
      <c r="B746" s="2">
        <v>54</v>
      </c>
      <c r="C746" t="str" cm="1">
        <f t="array" ref="C746">_xlfn.IFS(B746&lt;=30,"Young",B746&lt;=50,"Middle-aged",B746&gt;50,"Older")</f>
        <v>Older</v>
      </c>
      <c r="D746" s="2" t="s">
        <v>19</v>
      </c>
      <c r="E746" s="2" t="s">
        <v>20</v>
      </c>
      <c r="F746" s="2">
        <f t="shared" si="47"/>
        <v>0</v>
      </c>
      <c r="G746" s="2">
        <f t="shared" si="44"/>
        <v>1</v>
      </c>
      <c r="H746" s="2">
        <f t="shared" si="45"/>
        <v>0</v>
      </c>
      <c r="I746" s="2">
        <f t="shared" si="46"/>
        <v>0</v>
      </c>
      <c r="J746" s="2">
        <v>50</v>
      </c>
      <c r="K746" s="2" t="s">
        <v>21</v>
      </c>
      <c r="L746" s="2">
        <v>15</v>
      </c>
      <c r="M746" t="str" cm="1">
        <f t="array" ref="M746">_xlfn.IFS(L746&lt;=14,"Short",L746&lt;=30,"Medium",L746&lt;=45,"Long",L746&lt;=60,"Very Long")</f>
        <v>Medium</v>
      </c>
      <c r="N746" s="2" t="s">
        <v>28</v>
      </c>
      <c r="O746" s="3">
        <v>8</v>
      </c>
    </row>
    <row r="747" spans="1:15" x14ac:dyDescent="0.25">
      <c r="A747" s="4" t="s">
        <v>806</v>
      </c>
      <c r="B747" s="5">
        <v>26</v>
      </c>
      <c r="C747" t="str" cm="1">
        <f t="array" ref="C747">_xlfn.IFS(B747&lt;=30,"Young",B747&lt;=50,"Middle-aged",B747&gt;50,"Older")</f>
        <v>Young</v>
      </c>
      <c r="D747" s="5" t="s">
        <v>10</v>
      </c>
      <c r="E747" s="5" t="s">
        <v>15</v>
      </c>
      <c r="F747" s="5">
        <f t="shared" si="47"/>
        <v>1</v>
      </c>
      <c r="G747" s="5">
        <f t="shared" si="44"/>
        <v>0</v>
      </c>
      <c r="H747" s="5">
        <f t="shared" si="45"/>
        <v>0</v>
      </c>
      <c r="I747" s="5">
        <f t="shared" si="46"/>
        <v>0</v>
      </c>
      <c r="J747" s="5">
        <v>500</v>
      </c>
      <c r="K747" s="5" t="s">
        <v>63</v>
      </c>
      <c r="L747" s="5">
        <v>50</v>
      </c>
      <c r="M747" t="str" cm="1">
        <f t="array" ref="M747">_xlfn.IFS(L747&lt;=14,"Short",L747&lt;=30,"Medium",L747&lt;=45,"Long",L747&lt;=60,"Very Long")</f>
        <v>Very Long</v>
      </c>
      <c r="N747" s="5" t="s">
        <v>41</v>
      </c>
      <c r="O747" s="6">
        <v>5.3</v>
      </c>
    </row>
    <row r="748" spans="1:15" x14ac:dyDescent="0.25">
      <c r="A748" s="1" t="s">
        <v>807</v>
      </c>
      <c r="B748" s="2">
        <v>41</v>
      </c>
      <c r="C748" t="str" cm="1">
        <f t="array" ref="C748">_xlfn.IFS(B748&lt;=30,"Young",B748&lt;=50,"Middle-aged",B748&gt;50,"Older")</f>
        <v>Middle-aged</v>
      </c>
      <c r="D748" s="2" t="s">
        <v>19</v>
      </c>
      <c r="E748" s="2" t="s">
        <v>15</v>
      </c>
      <c r="F748" s="2">
        <f t="shared" si="47"/>
        <v>1</v>
      </c>
      <c r="G748" s="2">
        <f t="shared" si="44"/>
        <v>0</v>
      </c>
      <c r="H748" s="2">
        <f t="shared" si="45"/>
        <v>0</v>
      </c>
      <c r="I748" s="2">
        <f t="shared" si="46"/>
        <v>0</v>
      </c>
      <c r="J748" s="2">
        <v>100</v>
      </c>
      <c r="K748" s="2" t="s">
        <v>63</v>
      </c>
      <c r="L748" s="2">
        <v>54</v>
      </c>
      <c r="M748" t="str" cm="1">
        <f t="array" ref="M748">_xlfn.IFS(L748&lt;=14,"Short",L748&lt;=30,"Medium",L748&lt;=45,"Long",L748&lt;=60,"Very Long")</f>
        <v>Very Long</v>
      </c>
      <c r="N748" s="2" t="s">
        <v>41</v>
      </c>
      <c r="O748" s="3">
        <v>6.7</v>
      </c>
    </row>
    <row r="749" spans="1:15" x14ac:dyDescent="0.25">
      <c r="A749" s="4" t="s">
        <v>808</v>
      </c>
      <c r="B749" s="5">
        <v>52</v>
      </c>
      <c r="C749" t="str" cm="1">
        <f t="array" ref="C749">_xlfn.IFS(B749&lt;=30,"Young",B749&lt;=50,"Middle-aged",B749&gt;50,"Older")</f>
        <v>Older</v>
      </c>
      <c r="D749" s="5" t="s">
        <v>19</v>
      </c>
      <c r="E749" s="5" t="s">
        <v>20</v>
      </c>
      <c r="F749" s="5">
        <f t="shared" si="47"/>
        <v>0</v>
      </c>
      <c r="G749" s="5">
        <f t="shared" si="44"/>
        <v>1</v>
      </c>
      <c r="H749" s="5">
        <f t="shared" si="45"/>
        <v>0</v>
      </c>
      <c r="I749" s="5">
        <f t="shared" si="46"/>
        <v>0</v>
      </c>
      <c r="J749" s="5">
        <v>250</v>
      </c>
      <c r="K749" s="5" t="s">
        <v>21</v>
      </c>
      <c r="L749" s="5">
        <v>25</v>
      </c>
      <c r="M749" t="str" cm="1">
        <f t="array" ref="M749">_xlfn.IFS(L749&lt;=14,"Short",L749&lt;=30,"Medium",L749&lt;=45,"Long",L749&lt;=60,"Very Long")</f>
        <v>Medium</v>
      </c>
      <c r="N749" s="5" t="s">
        <v>41</v>
      </c>
      <c r="O749" s="6">
        <v>7</v>
      </c>
    </row>
    <row r="750" spans="1:15" x14ac:dyDescent="0.25">
      <c r="A750" s="1" t="s">
        <v>809</v>
      </c>
      <c r="B750" s="2">
        <v>66</v>
      </c>
      <c r="C750" t="str" cm="1">
        <f t="array" ref="C750">_xlfn.IFS(B750&lt;=30,"Young",B750&lt;=50,"Middle-aged",B750&gt;50,"Older")</f>
        <v>Older</v>
      </c>
      <c r="D750" s="2" t="s">
        <v>19</v>
      </c>
      <c r="E750" s="2" t="s">
        <v>15</v>
      </c>
      <c r="F750" s="2">
        <f t="shared" si="47"/>
        <v>1</v>
      </c>
      <c r="G750" s="2">
        <f t="shared" si="44"/>
        <v>0</v>
      </c>
      <c r="H750" s="2">
        <f t="shared" si="45"/>
        <v>0</v>
      </c>
      <c r="I750" s="2">
        <f t="shared" si="46"/>
        <v>0</v>
      </c>
      <c r="J750" s="2">
        <v>850</v>
      </c>
      <c r="K750" s="2" t="s">
        <v>16</v>
      </c>
      <c r="L750" s="2">
        <v>25</v>
      </c>
      <c r="M750" t="str" cm="1">
        <f t="array" ref="M750">_xlfn.IFS(L750&lt;=14,"Short",L750&lt;=30,"Medium",L750&lt;=45,"Long",L750&lt;=60,"Very Long")</f>
        <v>Medium</v>
      </c>
      <c r="N750" s="2" t="s">
        <v>30</v>
      </c>
      <c r="O750" s="3">
        <v>7.9</v>
      </c>
    </row>
    <row r="751" spans="1:15" x14ac:dyDescent="0.25">
      <c r="A751" s="4" t="s">
        <v>810</v>
      </c>
      <c r="B751" s="5">
        <v>52</v>
      </c>
      <c r="C751" t="str" cm="1">
        <f t="array" ref="C751">_xlfn.IFS(B751&lt;=30,"Young",B751&lt;=50,"Middle-aged",B751&gt;50,"Older")</f>
        <v>Older</v>
      </c>
      <c r="D751" s="5" t="s">
        <v>10</v>
      </c>
      <c r="E751" s="5" t="s">
        <v>33</v>
      </c>
      <c r="F751" s="5">
        <f t="shared" si="47"/>
        <v>0</v>
      </c>
      <c r="G751" s="5">
        <f t="shared" si="44"/>
        <v>0</v>
      </c>
      <c r="H751" s="5">
        <f t="shared" si="45"/>
        <v>0</v>
      </c>
      <c r="I751" s="5">
        <f t="shared" si="46"/>
        <v>1</v>
      </c>
      <c r="J751" s="5">
        <v>50</v>
      </c>
      <c r="K751" s="5" t="s">
        <v>34</v>
      </c>
      <c r="L751" s="5">
        <v>9</v>
      </c>
      <c r="M751" t="str" cm="1">
        <f t="array" ref="M751">_xlfn.IFS(L751&lt;=14,"Short",L751&lt;=30,"Medium",L751&lt;=45,"Long",L751&lt;=60,"Very Long")</f>
        <v>Short</v>
      </c>
      <c r="N751" s="5" t="s">
        <v>35</v>
      </c>
      <c r="O751" s="6">
        <v>8</v>
      </c>
    </row>
    <row r="752" spans="1:15" x14ac:dyDescent="0.25">
      <c r="A752" s="1" t="s">
        <v>811</v>
      </c>
      <c r="B752" s="2">
        <v>65</v>
      </c>
      <c r="C752" t="str" cm="1">
        <f t="array" ref="C752">_xlfn.IFS(B752&lt;=30,"Young",B752&lt;=50,"Middle-aged",B752&gt;50,"Older")</f>
        <v>Older</v>
      </c>
      <c r="D752" s="2" t="s">
        <v>19</v>
      </c>
      <c r="E752" s="2" t="s">
        <v>11</v>
      </c>
      <c r="F752" s="2">
        <f t="shared" si="47"/>
        <v>0</v>
      </c>
      <c r="G752" s="2">
        <f t="shared" si="44"/>
        <v>0</v>
      </c>
      <c r="H752" s="2">
        <f t="shared" si="45"/>
        <v>0</v>
      </c>
      <c r="I752" s="2">
        <f t="shared" si="46"/>
        <v>0</v>
      </c>
      <c r="J752" s="2">
        <v>850</v>
      </c>
      <c r="K752" s="2" t="s">
        <v>12</v>
      </c>
      <c r="L752" s="2">
        <v>52</v>
      </c>
      <c r="M752" t="str" cm="1">
        <f t="array" ref="M752">_xlfn.IFS(L752&lt;=14,"Short",L752&lt;=30,"Medium",L752&lt;=45,"Long",L752&lt;=60,"Very Long")</f>
        <v>Very Long</v>
      </c>
      <c r="N752" s="2" t="s">
        <v>30</v>
      </c>
      <c r="O752" s="3">
        <v>5.9</v>
      </c>
    </row>
    <row r="753" spans="1:15" x14ac:dyDescent="0.25">
      <c r="A753" s="4" t="s">
        <v>812</v>
      </c>
      <c r="B753" s="5">
        <v>53</v>
      </c>
      <c r="C753" t="str" cm="1">
        <f t="array" ref="C753">_xlfn.IFS(B753&lt;=30,"Young",B753&lt;=50,"Middle-aged",B753&gt;50,"Older")</f>
        <v>Older</v>
      </c>
      <c r="D753" s="5" t="s">
        <v>10</v>
      </c>
      <c r="E753" s="5" t="s">
        <v>15</v>
      </c>
      <c r="F753" s="5">
        <f t="shared" si="47"/>
        <v>1</v>
      </c>
      <c r="G753" s="5">
        <f t="shared" si="44"/>
        <v>0</v>
      </c>
      <c r="H753" s="5">
        <f t="shared" si="45"/>
        <v>0</v>
      </c>
      <c r="I753" s="5">
        <f t="shared" si="46"/>
        <v>0</v>
      </c>
      <c r="J753" s="5">
        <v>500</v>
      </c>
      <c r="K753" s="5" t="s">
        <v>63</v>
      </c>
      <c r="L753" s="5">
        <v>24</v>
      </c>
      <c r="M753" t="str" cm="1">
        <f t="array" ref="M753">_xlfn.IFS(L753&lt;=14,"Short",L753&lt;=30,"Medium",L753&lt;=45,"Long",L753&lt;=60,"Very Long")</f>
        <v>Medium</v>
      </c>
      <c r="N753" s="5" t="s">
        <v>64</v>
      </c>
      <c r="O753" s="6">
        <v>7.1</v>
      </c>
    </row>
    <row r="754" spans="1:15" x14ac:dyDescent="0.25">
      <c r="A754" s="1" t="s">
        <v>813</v>
      </c>
      <c r="B754" s="2">
        <v>35</v>
      </c>
      <c r="C754" t="str" cm="1">
        <f t="array" ref="C754">_xlfn.IFS(B754&lt;=30,"Young",B754&lt;=50,"Middle-aged",B754&gt;50,"Older")</f>
        <v>Middle-aged</v>
      </c>
      <c r="D754" s="2" t="s">
        <v>19</v>
      </c>
      <c r="E754" s="2" t="s">
        <v>33</v>
      </c>
      <c r="F754" s="2">
        <f t="shared" si="47"/>
        <v>0</v>
      </c>
      <c r="G754" s="2">
        <f t="shared" si="44"/>
        <v>0</v>
      </c>
      <c r="H754" s="2">
        <f t="shared" si="45"/>
        <v>0</v>
      </c>
      <c r="I754" s="2">
        <f t="shared" si="46"/>
        <v>1</v>
      </c>
      <c r="J754" s="2">
        <v>500</v>
      </c>
      <c r="K754" s="2" t="s">
        <v>34</v>
      </c>
      <c r="L754" s="2">
        <v>41</v>
      </c>
      <c r="M754" t="str" cm="1">
        <f t="array" ref="M754">_xlfn.IFS(L754&lt;=14,"Short",L754&lt;=30,"Medium",L754&lt;=45,"Long",L754&lt;=60,"Very Long")</f>
        <v>Long</v>
      </c>
      <c r="N754" s="2" t="s">
        <v>35</v>
      </c>
      <c r="O754" s="3">
        <v>7.7</v>
      </c>
    </row>
    <row r="755" spans="1:15" x14ac:dyDescent="0.25">
      <c r="A755" s="4" t="s">
        <v>814</v>
      </c>
      <c r="B755" s="5">
        <v>66</v>
      </c>
      <c r="C755" t="str" cm="1">
        <f t="array" ref="C755">_xlfn.IFS(B755&lt;=30,"Young",B755&lt;=50,"Middle-aged",B755&gt;50,"Older")</f>
        <v>Older</v>
      </c>
      <c r="D755" s="5" t="s">
        <v>10</v>
      </c>
      <c r="E755" s="5" t="s">
        <v>24</v>
      </c>
      <c r="F755" s="5">
        <f t="shared" si="47"/>
        <v>0</v>
      </c>
      <c r="G755" s="5">
        <f t="shared" si="44"/>
        <v>0</v>
      </c>
      <c r="H755" s="5">
        <f t="shared" si="45"/>
        <v>1</v>
      </c>
      <c r="I755" s="5">
        <f t="shared" si="46"/>
        <v>0</v>
      </c>
      <c r="J755" s="5">
        <v>250</v>
      </c>
      <c r="K755" s="5" t="s">
        <v>59</v>
      </c>
      <c r="L755" s="5">
        <v>7</v>
      </c>
      <c r="M755" t="str" cm="1">
        <f t="array" ref="M755">_xlfn.IFS(L755&lt;=14,"Short",L755&lt;=30,"Medium",L755&lt;=45,"Long",L755&lt;=60,"Very Long")</f>
        <v>Short</v>
      </c>
      <c r="N755" s="5" t="s">
        <v>74</v>
      </c>
      <c r="O755" s="6">
        <v>9.1999999999999993</v>
      </c>
    </row>
    <row r="756" spans="1:15" x14ac:dyDescent="0.25">
      <c r="A756" s="1" t="s">
        <v>815</v>
      </c>
      <c r="B756" s="2">
        <v>56</v>
      </c>
      <c r="C756" t="str" cm="1">
        <f t="array" ref="C756">_xlfn.IFS(B756&lt;=30,"Young",B756&lt;=50,"Middle-aged",B756&gt;50,"Older")</f>
        <v>Older</v>
      </c>
      <c r="D756" s="2" t="s">
        <v>10</v>
      </c>
      <c r="E756" s="2" t="s">
        <v>33</v>
      </c>
      <c r="F756" s="2">
        <f t="shared" si="47"/>
        <v>0</v>
      </c>
      <c r="G756" s="2">
        <f t="shared" si="44"/>
        <v>0</v>
      </c>
      <c r="H756" s="2">
        <f t="shared" si="45"/>
        <v>0</v>
      </c>
      <c r="I756" s="2">
        <f t="shared" si="46"/>
        <v>1</v>
      </c>
      <c r="J756" s="2">
        <v>850</v>
      </c>
      <c r="K756" s="2" t="s">
        <v>49</v>
      </c>
      <c r="L756" s="2">
        <v>48</v>
      </c>
      <c r="M756" t="str" cm="1">
        <f t="array" ref="M756">_xlfn.IFS(L756&lt;=14,"Short",L756&lt;=30,"Medium",L756&lt;=45,"Long",L756&lt;=60,"Very Long")</f>
        <v>Very Long</v>
      </c>
      <c r="N756" s="2" t="s">
        <v>13</v>
      </c>
      <c r="O756" s="3">
        <v>8.1</v>
      </c>
    </row>
    <row r="757" spans="1:15" x14ac:dyDescent="0.25">
      <c r="A757" s="4" t="s">
        <v>816</v>
      </c>
      <c r="B757" s="5">
        <v>49</v>
      </c>
      <c r="C757" t="str" cm="1">
        <f t="array" ref="C757">_xlfn.IFS(B757&lt;=30,"Young",B757&lt;=50,"Middle-aged",B757&gt;50,"Older")</f>
        <v>Middle-aged</v>
      </c>
      <c r="D757" s="5" t="s">
        <v>19</v>
      </c>
      <c r="E757" s="5" t="s">
        <v>11</v>
      </c>
      <c r="F757" s="5">
        <f t="shared" si="47"/>
        <v>0</v>
      </c>
      <c r="G757" s="5">
        <f t="shared" si="44"/>
        <v>0</v>
      </c>
      <c r="H757" s="5">
        <f t="shared" si="45"/>
        <v>0</v>
      </c>
      <c r="I757" s="5">
        <f t="shared" si="46"/>
        <v>0</v>
      </c>
      <c r="J757" s="5">
        <v>500</v>
      </c>
      <c r="K757" s="5" t="s">
        <v>84</v>
      </c>
      <c r="L757" s="5">
        <v>37</v>
      </c>
      <c r="M757" t="str" cm="1">
        <f t="array" ref="M757">_xlfn.IFS(L757&lt;=14,"Short",L757&lt;=30,"Medium",L757&lt;=45,"Long",L757&lt;=60,"Very Long")</f>
        <v>Long</v>
      </c>
      <c r="N757" s="5" t="s">
        <v>97</v>
      </c>
      <c r="O757" s="6">
        <v>8.1999999999999993</v>
      </c>
    </row>
    <row r="758" spans="1:15" x14ac:dyDescent="0.25">
      <c r="A758" s="1" t="s">
        <v>817</v>
      </c>
      <c r="B758" s="2">
        <v>41</v>
      </c>
      <c r="C758" t="str" cm="1">
        <f t="array" ref="C758">_xlfn.IFS(B758&lt;=30,"Young",B758&lt;=50,"Middle-aged",B758&gt;50,"Older")</f>
        <v>Middle-aged</v>
      </c>
      <c r="D758" s="2" t="s">
        <v>19</v>
      </c>
      <c r="E758" s="2" t="s">
        <v>33</v>
      </c>
      <c r="F758" s="2">
        <f t="shared" si="47"/>
        <v>0</v>
      </c>
      <c r="G758" s="2">
        <f t="shared" si="44"/>
        <v>0</v>
      </c>
      <c r="H758" s="2">
        <f t="shared" si="45"/>
        <v>0</v>
      </c>
      <c r="I758" s="2">
        <f t="shared" si="46"/>
        <v>1</v>
      </c>
      <c r="J758" s="2">
        <v>850</v>
      </c>
      <c r="K758" s="2" t="s">
        <v>34</v>
      </c>
      <c r="L758" s="2">
        <v>57</v>
      </c>
      <c r="M758" t="str" cm="1">
        <f t="array" ref="M758">_xlfn.IFS(L758&lt;=14,"Short",L758&lt;=30,"Medium",L758&lt;=45,"Long",L758&lt;=60,"Very Long")</f>
        <v>Very Long</v>
      </c>
      <c r="N758" s="2" t="s">
        <v>95</v>
      </c>
      <c r="O758" s="3">
        <v>7.1</v>
      </c>
    </row>
    <row r="759" spans="1:15" x14ac:dyDescent="0.25">
      <c r="A759" s="4" t="s">
        <v>818</v>
      </c>
      <c r="B759" s="5">
        <v>40</v>
      </c>
      <c r="C759" t="str" cm="1">
        <f t="array" ref="C759">_xlfn.IFS(B759&lt;=30,"Young",B759&lt;=50,"Middle-aged",B759&gt;50,"Older")</f>
        <v>Middle-aged</v>
      </c>
      <c r="D759" s="5" t="s">
        <v>10</v>
      </c>
      <c r="E759" s="5" t="s">
        <v>20</v>
      </c>
      <c r="F759" s="5">
        <f t="shared" si="47"/>
        <v>0</v>
      </c>
      <c r="G759" s="5">
        <f t="shared" si="44"/>
        <v>1</v>
      </c>
      <c r="H759" s="5">
        <f t="shared" si="45"/>
        <v>0</v>
      </c>
      <c r="I759" s="5">
        <f t="shared" si="46"/>
        <v>0</v>
      </c>
      <c r="J759" s="5">
        <v>500</v>
      </c>
      <c r="K759" s="5" t="s">
        <v>21</v>
      </c>
      <c r="L759" s="5">
        <v>13</v>
      </c>
      <c r="M759" t="str" cm="1">
        <f t="array" ref="M759">_xlfn.IFS(L759&lt;=14,"Short",L759&lt;=30,"Medium",L759&lt;=45,"Long",L759&lt;=60,"Very Long")</f>
        <v>Short</v>
      </c>
      <c r="N759" s="5" t="s">
        <v>41</v>
      </c>
      <c r="O759" s="6">
        <v>9.1</v>
      </c>
    </row>
    <row r="760" spans="1:15" x14ac:dyDescent="0.25">
      <c r="A760" s="1" t="s">
        <v>819</v>
      </c>
      <c r="B760" s="2">
        <v>79</v>
      </c>
      <c r="C760" t="str" cm="1">
        <f t="array" ref="C760">_xlfn.IFS(B760&lt;=30,"Young",B760&lt;=50,"Middle-aged",B760&gt;50,"Older")</f>
        <v>Older</v>
      </c>
      <c r="D760" s="2" t="s">
        <v>19</v>
      </c>
      <c r="E760" s="2" t="s">
        <v>11</v>
      </c>
      <c r="F760" s="2">
        <f t="shared" si="47"/>
        <v>0</v>
      </c>
      <c r="G760" s="2">
        <f t="shared" si="44"/>
        <v>0</v>
      </c>
      <c r="H760" s="2">
        <f t="shared" si="45"/>
        <v>0</v>
      </c>
      <c r="I760" s="2">
        <f t="shared" si="46"/>
        <v>0</v>
      </c>
      <c r="J760" s="2">
        <v>500</v>
      </c>
      <c r="K760" s="2" t="s">
        <v>51</v>
      </c>
      <c r="L760" s="2">
        <v>13</v>
      </c>
      <c r="M760" t="str" cm="1">
        <f t="array" ref="M760">_xlfn.IFS(L760&lt;=14,"Short",L760&lt;=30,"Medium",L760&lt;=45,"Long",L760&lt;=60,"Very Long")</f>
        <v>Short</v>
      </c>
      <c r="N760" s="2" t="s">
        <v>41</v>
      </c>
      <c r="O760" s="3">
        <v>7.6</v>
      </c>
    </row>
    <row r="761" spans="1:15" x14ac:dyDescent="0.25">
      <c r="A761" s="4" t="s">
        <v>820</v>
      </c>
      <c r="B761" s="5">
        <v>49</v>
      </c>
      <c r="C761" t="str" cm="1">
        <f t="array" ref="C761">_xlfn.IFS(B761&lt;=30,"Young",B761&lt;=50,"Middle-aged",B761&gt;50,"Older")</f>
        <v>Middle-aged</v>
      </c>
      <c r="D761" s="5" t="s">
        <v>10</v>
      </c>
      <c r="E761" s="5" t="s">
        <v>24</v>
      </c>
      <c r="F761" s="5">
        <f t="shared" si="47"/>
        <v>0</v>
      </c>
      <c r="G761" s="5">
        <f t="shared" si="44"/>
        <v>0</v>
      </c>
      <c r="H761" s="5">
        <f t="shared" si="45"/>
        <v>1</v>
      </c>
      <c r="I761" s="5">
        <f t="shared" si="46"/>
        <v>0</v>
      </c>
      <c r="J761" s="5">
        <v>250</v>
      </c>
      <c r="K761" s="5" t="s">
        <v>39</v>
      </c>
      <c r="L761" s="5">
        <v>8</v>
      </c>
      <c r="M761" t="str" cm="1">
        <f t="array" ref="M761">_xlfn.IFS(L761&lt;=14,"Short",L761&lt;=30,"Medium",L761&lt;=45,"Long",L761&lt;=60,"Very Long")</f>
        <v>Short</v>
      </c>
      <c r="N761" s="5" t="s">
        <v>136</v>
      </c>
      <c r="O761" s="6">
        <v>5.7</v>
      </c>
    </row>
    <row r="762" spans="1:15" x14ac:dyDescent="0.25">
      <c r="A762" s="1" t="s">
        <v>821</v>
      </c>
      <c r="B762" s="2">
        <v>54</v>
      </c>
      <c r="C762" t="str" cm="1">
        <f t="array" ref="C762">_xlfn.IFS(B762&lt;=30,"Young",B762&lt;=50,"Middle-aged",B762&gt;50,"Older")</f>
        <v>Older</v>
      </c>
      <c r="D762" s="2" t="s">
        <v>10</v>
      </c>
      <c r="E762" s="2" t="s">
        <v>20</v>
      </c>
      <c r="F762" s="2">
        <f t="shared" si="47"/>
        <v>0</v>
      </c>
      <c r="G762" s="2">
        <f t="shared" si="44"/>
        <v>1</v>
      </c>
      <c r="H762" s="2">
        <f t="shared" si="45"/>
        <v>0</v>
      </c>
      <c r="I762" s="2">
        <f t="shared" si="46"/>
        <v>0</v>
      </c>
      <c r="J762" s="2">
        <v>100</v>
      </c>
      <c r="K762" s="2" t="s">
        <v>21</v>
      </c>
      <c r="L762" s="2">
        <v>39</v>
      </c>
      <c r="M762" t="str" cm="1">
        <f t="array" ref="M762">_xlfn.IFS(L762&lt;=14,"Short",L762&lt;=30,"Medium",L762&lt;=45,"Long",L762&lt;=60,"Very Long")</f>
        <v>Long</v>
      </c>
      <c r="N762" s="2" t="s">
        <v>41</v>
      </c>
      <c r="O762" s="3">
        <v>9.1</v>
      </c>
    </row>
    <row r="763" spans="1:15" x14ac:dyDescent="0.25">
      <c r="A763" s="4" t="s">
        <v>822</v>
      </c>
      <c r="B763" s="5">
        <v>29</v>
      </c>
      <c r="C763" t="str" cm="1">
        <f t="array" ref="C763">_xlfn.IFS(B763&lt;=30,"Young",B763&lt;=50,"Middle-aged",B763&gt;50,"Older")</f>
        <v>Young</v>
      </c>
      <c r="D763" s="5" t="s">
        <v>10</v>
      </c>
      <c r="E763" s="5" t="s">
        <v>33</v>
      </c>
      <c r="F763" s="5">
        <f t="shared" si="47"/>
        <v>0</v>
      </c>
      <c r="G763" s="5">
        <f t="shared" si="44"/>
        <v>0</v>
      </c>
      <c r="H763" s="5">
        <f t="shared" si="45"/>
        <v>0</v>
      </c>
      <c r="I763" s="5">
        <f t="shared" si="46"/>
        <v>1</v>
      </c>
      <c r="J763" s="5">
        <v>250</v>
      </c>
      <c r="K763" s="5" t="s">
        <v>34</v>
      </c>
      <c r="L763" s="5">
        <v>21</v>
      </c>
      <c r="M763" t="str" cm="1">
        <f t="array" ref="M763">_xlfn.IFS(L763&lt;=14,"Short",L763&lt;=30,"Medium",L763&lt;=45,"Long",L763&lt;=60,"Very Long")</f>
        <v>Medium</v>
      </c>
      <c r="N763" s="5" t="s">
        <v>97</v>
      </c>
      <c r="O763" s="6">
        <v>8</v>
      </c>
    </row>
    <row r="764" spans="1:15" x14ac:dyDescent="0.25">
      <c r="A764" s="1" t="s">
        <v>823</v>
      </c>
      <c r="B764" s="2">
        <v>66</v>
      </c>
      <c r="C764" t="str" cm="1">
        <f t="array" ref="C764">_xlfn.IFS(B764&lt;=30,"Young",B764&lt;=50,"Middle-aged",B764&gt;50,"Older")</f>
        <v>Older</v>
      </c>
      <c r="D764" s="2" t="s">
        <v>10</v>
      </c>
      <c r="E764" s="2" t="s">
        <v>11</v>
      </c>
      <c r="F764" s="2">
        <f t="shared" si="47"/>
        <v>0</v>
      </c>
      <c r="G764" s="2">
        <f t="shared" si="44"/>
        <v>0</v>
      </c>
      <c r="H764" s="2">
        <f t="shared" si="45"/>
        <v>0</v>
      </c>
      <c r="I764" s="2">
        <f t="shared" si="46"/>
        <v>0</v>
      </c>
      <c r="J764" s="2">
        <v>850</v>
      </c>
      <c r="K764" s="2" t="s">
        <v>12</v>
      </c>
      <c r="L764" s="2">
        <v>38</v>
      </c>
      <c r="M764" t="str" cm="1">
        <f t="array" ref="M764">_xlfn.IFS(L764&lt;=14,"Short",L764&lt;=30,"Medium",L764&lt;=45,"Long",L764&lt;=60,"Very Long")</f>
        <v>Long</v>
      </c>
      <c r="N764" s="2" t="s">
        <v>13</v>
      </c>
      <c r="O764" s="3">
        <v>6.3</v>
      </c>
    </row>
    <row r="765" spans="1:15" x14ac:dyDescent="0.25">
      <c r="A765" s="4" t="s">
        <v>824</v>
      </c>
      <c r="B765" s="5">
        <v>72</v>
      </c>
      <c r="C765" t="str" cm="1">
        <f t="array" ref="C765">_xlfn.IFS(B765&lt;=30,"Young",B765&lt;=50,"Middle-aged",B765&gt;50,"Older")</f>
        <v>Older</v>
      </c>
      <c r="D765" s="5" t="s">
        <v>10</v>
      </c>
      <c r="E765" s="5" t="s">
        <v>24</v>
      </c>
      <c r="F765" s="5">
        <f t="shared" si="47"/>
        <v>0</v>
      </c>
      <c r="G765" s="5">
        <f t="shared" si="44"/>
        <v>0</v>
      </c>
      <c r="H765" s="5">
        <f t="shared" si="45"/>
        <v>1</v>
      </c>
      <c r="I765" s="5">
        <f t="shared" si="46"/>
        <v>0</v>
      </c>
      <c r="J765" s="5">
        <v>100</v>
      </c>
      <c r="K765" s="5" t="s">
        <v>39</v>
      </c>
      <c r="L765" s="5">
        <v>28</v>
      </c>
      <c r="M765" t="str" cm="1">
        <f t="array" ref="M765">_xlfn.IFS(L765&lt;=14,"Short",L765&lt;=30,"Medium",L765&lt;=45,"Long",L765&lt;=60,"Very Long")</f>
        <v>Medium</v>
      </c>
      <c r="N765" s="5" t="s">
        <v>85</v>
      </c>
      <c r="O765" s="6">
        <v>6.3</v>
      </c>
    </row>
    <row r="766" spans="1:15" x14ac:dyDescent="0.25">
      <c r="A766" s="1" t="s">
        <v>825</v>
      </c>
      <c r="B766" s="2">
        <v>30</v>
      </c>
      <c r="C766" t="str" cm="1">
        <f t="array" ref="C766">_xlfn.IFS(B766&lt;=30,"Young",B766&lt;=50,"Middle-aged",B766&gt;50,"Older")</f>
        <v>Young</v>
      </c>
      <c r="D766" s="2" t="s">
        <v>19</v>
      </c>
      <c r="E766" s="2" t="s">
        <v>20</v>
      </c>
      <c r="F766" s="2">
        <f t="shared" si="47"/>
        <v>0</v>
      </c>
      <c r="G766" s="2">
        <f t="shared" si="44"/>
        <v>1</v>
      </c>
      <c r="H766" s="2">
        <f t="shared" si="45"/>
        <v>0</v>
      </c>
      <c r="I766" s="2">
        <f t="shared" si="46"/>
        <v>0</v>
      </c>
      <c r="J766" s="2">
        <v>250</v>
      </c>
      <c r="K766" s="2" t="s">
        <v>21</v>
      </c>
      <c r="L766" s="2">
        <v>36</v>
      </c>
      <c r="M766" t="str" cm="1">
        <f t="array" ref="M766">_xlfn.IFS(L766&lt;=14,"Short",L766&lt;=30,"Medium",L766&lt;=45,"Long",L766&lt;=60,"Very Long")</f>
        <v>Long</v>
      </c>
      <c r="N766" s="2" t="s">
        <v>41</v>
      </c>
      <c r="O766" s="3">
        <v>7.4</v>
      </c>
    </row>
    <row r="767" spans="1:15" x14ac:dyDescent="0.25">
      <c r="A767" s="4" t="s">
        <v>826</v>
      </c>
      <c r="B767" s="5">
        <v>40</v>
      </c>
      <c r="C767" t="str" cm="1">
        <f t="array" ref="C767">_xlfn.IFS(B767&lt;=30,"Young",B767&lt;=50,"Middle-aged",B767&gt;50,"Older")</f>
        <v>Middle-aged</v>
      </c>
      <c r="D767" s="5" t="s">
        <v>10</v>
      </c>
      <c r="E767" s="5" t="s">
        <v>24</v>
      </c>
      <c r="F767" s="5">
        <f t="shared" si="47"/>
        <v>0</v>
      </c>
      <c r="G767" s="5">
        <f t="shared" si="44"/>
        <v>0</v>
      </c>
      <c r="H767" s="5">
        <f t="shared" si="45"/>
        <v>1</v>
      </c>
      <c r="I767" s="5">
        <f t="shared" si="46"/>
        <v>0</v>
      </c>
      <c r="J767" s="5">
        <v>50</v>
      </c>
      <c r="K767" s="5" t="s">
        <v>59</v>
      </c>
      <c r="L767" s="5">
        <v>5</v>
      </c>
      <c r="M767" t="str" cm="1">
        <f t="array" ref="M767">_xlfn.IFS(L767&lt;=14,"Short",L767&lt;=30,"Medium",L767&lt;=45,"Long",L767&lt;=60,"Very Long")</f>
        <v>Short</v>
      </c>
      <c r="N767" s="5" t="s">
        <v>60</v>
      </c>
      <c r="O767" s="6">
        <v>7.7</v>
      </c>
    </row>
    <row r="768" spans="1:15" x14ac:dyDescent="0.25">
      <c r="A768" s="1" t="s">
        <v>827</v>
      </c>
      <c r="B768" s="2">
        <v>42</v>
      </c>
      <c r="C768" t="str" cm="1">
        <f t="array" ref="C768">_xlfn.IFS(B768&lt;=30,"Young",B768&lt;=50,"Middle-aged",B768&gt;50,"Older")</f>
        <v>Middle-aged</v>
      </c>
      <c r="D768" s="2" t="s">
        <v>10</v>
      </c>
      <c r="E768" s="2" t="s">
        <v>33</v>
      </c>
      <c r="F768" s="2">
        <f t="shared" si="47"/>
        <v>0</v>
      </c>
      <c r="G768" s="2">
        <f t="shared" si="44"/>
        <v>0</v>
      </c>
      <c r="H768" s="2">
        <f t="shared" si="45"/>
        <v>0</v>
      </c>
      <c r="I768" s="2">
        <f t="shared" si="46"/>
        <v>1</v>
      </c>
      <c r="J768" s="2">
        <v>100</v>
      </c>
      <c r="K768" s="2" t="s">
        <v>47</v>
      </c>
      <c r="L768" s="2">
        <v>12</v>
      </c>
      <c r="M768" t="str" cm="1">
        <f t="array" ref="M768">_xlfn.IFS(L768&lt;=14,"Short",L768&lt;=30,"Medium",L768&lt;=45,"Long",L768&lt;=60,"Very Long")</f>
        <v>Short</v>
      </c>
      <c r="N768" s="2" t="s">
        <v>345</v>
      </c>
      <c r="O768" s="3">
        <v>7.3</v>
      </c>
    </row>
    <row r="769" spans="1:15" x14ac:dyDescent="0.25">
      <c r="A769" s="4" t="s">
        <v>828</v>
      </c>
      <c r="B769" s="5">
        <v>52</v>
      </c>
      <c r="C769" t="str" cm="1">
        <f t="array" ref="C769">_xlfn.IFS(B769&lt;=30,"Young",B769&lt;=50,"Middle-aged",B769&gt;50,"Older")</f>
        <v>Older</v>
      </c>
      <c r="D769" s="5" t="s">
        <v>19</v>
      </c>
      <c r="E769" s="5" t="s">
        <v>24</v>
      </c>
      <c r="F769" s="5">
        <f t="shared" si="47"/>
        <v>0</v>
      </c>
      <c r="G769" s="5">
        <f t="shared" si="44"/>
        <v>0</v>
      </c>
      <c r="H769" s="5">
        <f t="shared" si="45"/>
        <v>1</v>
      </c>
      <c r="I769" s="5">
        <f t="shared" si="46"/>
        <v>0</v>
      </c>
      <c r="J769" s="5">
        <v>250</v>
      </c>
      <c r="K769" s="5" t="s">
        <v>39</v>
      </c>
      <c r="L769" s="5">
        <v>49</v>
      </c>
      <c r="M769" t="str" cm="1">
        <f t="array" ref="M769">_xlfn.IFS(L769&lt;=14,"Short",L769&lt;=30,"Medium",L769&lt;=45,"Long",L769&lt;=60,"Very Long")</f>
        <v>Very Long</v>
      </c>
      <c r="N769" s="5" t="s">
        <v>13</v>
      </c>
      <c r="O769" s="6">
        <v>7.5</v>
      </c>
    </row>
    <row r="770" spans="1:15" x14ac:dyDescent="0.25">
      <c r="A770" s="1" t="s">
        <v>829</v>
      </c>
      <c r="B770" s="2">
        <v>58</v>
      </c>
      <c r="C770" t="str" cm="1">
        <f t="array" ref="C770">_xlfn.IFS(B770&lt;=30,"Young",B770&lt;=50,"Middle-aged",B770&gt;50,"Older")</f>
        <v>Older</v>
      </c>
      <c r="D770" s="2" t="s">
        <v>10</v>
      </c>
      <c r="E770" s="2" t="s">
        <v>15</v>
      </c>
      <c r="F770" s="2">
        <f t="shared" si="47"/>
        <v>1</v>
      </c>
      <c r="G770" s="2">
        <f t="shared" ref="G770:G833" si="48">IF($E770="Depression",1,0)</f>
        <v>0</v>
      </c>
      <c r="H770" s="2">
        <f t="shared" ref="H770:H833" si="49">IF($E770="Diabetes",1,0)</f>
        <v>0</v>
      </c>
      <c r="I770" s="2">
        <f t="shared" ref="I770:I833" si="50">IF($E770="Pain relief",1,0)</f>
        <v>0</v>
      </c>
      <c r="J770" s="2">
        <v>250</v>
      </c>
      <c r="K770" s="2" t="s">
        <v>16</v>
      </c>
      <c r="L770" s="2">
        <v>27</v>
      </c>
      <c r="M770" t="str" cm="1">
        <f t="array" ref="M770">_xlfn.IFS(L770&lt;=14,"Short",L770&lt;=30,"Medium",L770&lt;=45,"Long",L770&lt;=60,"Very Long")</f>
        <v>Medium</v>
      </c>
      <c r="N770" s="2" t="s">
        <v>30</v>
      </c>
      <c r="O770" s="3">
        <v>9.5</v>
      </c>
    </row>
    <row r="771" spans="1:15" x14ac:dyDescent="0.25">
      <c r="A771" s="4" t="s">
        <v>830</v>
      </c>
      <c r="B771" s="5">
        <v>47</v>
      </c>
      <c r="C771" t="str" cm="1">
        <f t="array" ref="C771">_xlfn.IFS(B771&lt;=30,"Young",B771&lt;=50,"Middle-aged",B771&gt;50,"Older")</f>
        <v>Middle-aged</v>
      </c>
      <c r="D771" s="5" t="s">
        <v>19</v>
      </c>
      <c r="E771" s="5" t="s">
        <v>20</v>
      </c>
      <c r="F771" s="5">
        <f t="shared" ref="F771:F834" si="51">IF($E771="Hypertension",1,0)</f>
        <v>0</v>
      </c>
      <c r="G771" s="5">
        <f t="shared" si="48"/>
        <v>1</v>
      </c>
      <c r="H771" s="5">
        <f t="shared" si="49"/>
        <v>0</v>
      </c>
      <c r="I771" s="5">
        <f t="shared" si="50"/>
        <v>0</v>
      </c>
      <c r="J771" s="5">
        <v>500</v>
      </c>
      <c r="K771" s="5" t="s">
        <v>21</v>
      </c>
      <c r="L771" s="5">
        <v>51</v>
      </c>
      <c r="M771" t="str" cm="1">
        <f t="array" ref="M771">_xlfn.IFS(L771&lt;=14,"Short",L771&lt;=30,"Medium",L771&lt;=45,"Long",L771&lt;=60,"Very Long")</f>
        <v>Very Long</v>
      </c>
      <c r="N771" s="5" t="s">
        <v>22</v>
      </c>
      <c r="O771" s="6">
        <v>8.6</v>
      </c>
    </row>
    <row r="772" spans="1:15" x14ac:dyDescent="0.25">
      <c r="A772" s="1" t="s">
        <v>831</v>
      </c>
      <c r="B772" s="2">
        <v>34</v>
      </c>
      <c r="C772" t="str" cm="1">
        <f t="array" ref="C772">_xlfn.IFS(B772&lt;=30,"Young",B772&lt;=50,"Middle-aged",B772&gt;50,"Older")</f>
        <v>Middle-aged</v>
      </c>
      <c r="D772" s="2" t="s">
        <v>19</v>
      </c>
      <c r="E772" s="2" t="s">
        <v>24</v>
      </c>
      <c r="F772" s="2">
        <f t="shared" si="51"/>
        <v>0</v>
      </c>
      <c r="G772" s="2">
        <f t="shared" si="48"/>
        <v>0</v>
      </c>
      <c r="H772" s="2">
        <f t="shared" si="49"/>
        <v>1</v>
      </c>
      <c r="I772" s="2">
        <f t="shared" si="50"/>
        <v>0</v>
      </c>
      <c r="J772" s="2">
        <v>250</v>
      </c>
      <c r="K772" s="2" t="s">
        <v>25</v>
      </c>
      <c r="L772" s="2">
        <v>44</v>
      </c>
      <c r="M772" t="str" cm="1">
        <f t="array" ref="M772">_xlfn.IFS(L772&lt;=14,"Short",L772&lt;=30,"Medium",L772&lt;=45,"Long",L772&lt;=60,"Very Long")</f>
        <v>Long</v>
      </c>
      <c r="N772" s="2" t="s">
        <v>70</v>
      </c>
      <c r="O772" s="3">
        <v>7.3</v>
      </c>
    </row>
    <row r="773" spans="1:15" x14ac:dyDescent="0.25">
      <c r="A773" s="4" t="s">
        <v>832</v>
      </c>
      <c r="B773" s="5">
        <v>66</v>
      </c>
      <c r="C773" t="str" cm="1">
        <f t="array" ref="C773">_xlfn.IFS(B773&lt;=30,"Young",B773&lt;=50,"Middle-aged",B773&gt;50,"Older")</f>
        <v>Older</v>
      </c>
      <c r="D773" s="5" t="s">
        <v>19</v>
      </c>
      <c r="E773" s="5" t="s">
        <v>33</v>
      </c>
      <c r="F773" s="5">
        <f t="shared" si="51"/>
        <v>0</v>
      </c>
      <c r="G773" s="5">
        <f t="shared" si="48"/>
        <v>0</v>
      </c>
      <c r="H773" s="5">
        <f t="shared" si="49"/>
        <v>0</v>
      </c>
      <c r="I773" s="5">
        <f t="shared" si="50"/>
        <v>1</v>
      </c>
      <c r="J773" s="5">
        <v>850</v>
      </c>
      <c r="K773" s="5" t="s">
        <v>49</v>
      </c>
      <c r="L773" s="5">
        <v>16</v>
      </c>
      <c r="M773" t="str" cm="1">
        <f t="array" ref="M773">_xlfn.IFS(L773&lt;=14,"Short",L773&lt;=30,"Medium",L773&lt;=45,"Long",L773&lt;=60,"Very Long")</f>
        <v>Medium</v>
      </c>
      <c r="N773" s="5" t="s">
        <v>91</v>
      </c>
      <c r="O773" s="6">
        <v>8.4</v>
      </c>
    </row>
    <row r="774" spans="1:15" x14ac:dyDescent="0.25">
      <c r="A774" s="1" t="s">
        <v>833</v>
      </c>
      <c r="B774" s="2">
        <v>79</v>
      </c>
      <c r="C774" t="str" cm="1">
        <f t="array" ref="C774">_xlfn.IFS(B774&lt;=30,"Young",B774&lt;=50,"Middle-aged",B774&gt;50,"Older")</f>
        <v>Older</v>
      </c>
      <c r="D774" s="2" t="s">
        <v>10</v>
      </c>
      <c r="E774" s="2" t="s">
        <v>33</v>
      </c>
      <c r="F774" s="2">
        <f t="shared" si="51"/>
        <v>0</v>
      </c>
      <c r="G774" s="2">
        <f t="shared" si="48"/>
        <v>0</v>
      </c>
      <c r="H774" s="2">
        <f t="shared" si="49"/>
        <v>0</v>
      </c>
      <c r="I774" s="2">
        <f t="shared" si="50"/>
        <v>1</v>
      </c>
      <c r="J774" s="2">
        <v>250</v>
      </c>
      <c r="K774" s="2" t="s">
        <v>34</v>
      </c>
      <c r="L774" s="2">
        <v>58</v>
      </c>
      <c r="M774" t="str" cm="1">
        <f t="array" ref="M774">_xlfn.IFS(L774&lt;=14,"Short",L774&lt;=30,"Medium",L774&lt;=45,"Long",L774&lt;=60,"Very Long")</f>
        <v>Very Long</v>
      </c>
      <c r="N774" s="2" t="s">
        <v>97</v>
      </c>
      <c r="O774" s="3">
        <v>5.5</v>
      </c>
    </row>
    <row r="775" spans="1:15" x14ac:dyDescent="0.25">
      <c r="A775" s="4" t="s">
        <v>834</v>
      </c>
      <c r="B775" s="5">
        <v>37</v>
      </c>
      <c r="C775" t="str" cm="1">
        <f t="array" ref="C775">_xlfn.IFS(B775&lt;=30,"Young",B775&lt;=50,"Middle-aged",B775&gt;50,"Older")</f>
        <v>Middle-aged</v>
      </c>
      <c r="D775" s="5" t="s">
        <v>10</v>
      </c>
      <c r="E775" s="5" t="s">
        <v>24</v>
      </c>
      <c r="F775" s="5">
        <f t="shared" si="51"/>
        <v>0</v>
      </c>
      <c r="G775" s="5">
        <f t="shared" si="48"/>
        <v>0</v>
      </c>
      <c r="H775" s="5">
        <f t="shared" si="49"/>
        <v>1</v>
      </c>
      <c r="I775" s="5">
        <f t="shared" si="50"/>
        <v>0</v>
      </c>
      <c r="J775" s="5">
        <v>850</v>
      </c>
      <c r="K775" s="5" t="s">
        <v>25</v>
      </c>
      <c r="L775" s="5">
        <v>16</v>
      </c>
      <c r="M775" t="str" cm="1">
        <f t="array" ref="M775">_xlfn.IFS(L775&lt;=14,"Short",L775&lt;=30,"Medium",L775&lt;=45,"Long",L775&lt;=60,"Very Long")</f>
        <v>Medium</v>
      </c>
      <c r="N775" s="5" t="s">
        <v>70</v>
      </c>
      <c r="O775" s="6">
        <v>7.6</v>
      </c>
    </row>
    <row r="776" spans="1:15" x14ac:dyDescent="0.25">
      <c r="A776" s="1" t="s">
        <v>835</v>
      </c>
      <c r="B776" s="2">
        <v>65</v>
      </c>
      <c r="C776" t="str" cm="1">
        <f t="array" ref="C776">_xlfn.IFS(B776&lt;=30,"Young",B776&lt;=50,"Middle-aged",B776&gt;50,"Older")</f>
        <v>Older</v>
      </c>
      <c r="D776" s="2" t="s">
        <v>10</v>
      </c>
      <c r="E776" s="2" t="s">
        <v>33</v>
      </c>
      <c r="F776" s="2">
        <f t="shared" si="51"/>
        <v>0</v>
      </c>
      <c r="G776" s="2">
        <f t="shared" si="48"/>
        <v>0</v>
      </c>
      <c r="H776" s="2">
        <f t="shared" si="49"/>
        <v>0</v>
      </c>
      <c r="I776" s="2">
        <f t="shared" si="50"/>
        <v>1</v>
      </c>
      <c r="J776" s="2">
        <v>850</v>
      </c>
      <c r="K776" s="2" t="s">
        <v>49</v>
      </c>
      <c r="L776" s="2">
        <v>50</v>
      </c>
      <c r="M776" t="str" cm="1">
        <f t="array" ref="M776">_xlfn.IFS(L776&lt;=14,"Short",L776&lt;=30,"Medium",L776&lt;=45,"Long",L776&lt;=60,"Very Long")</f>
        <v>Very Long</v>
      </c>
      <c r="N776" s="2" t="s">
        <v>13</v>
      </c>
      <c r="O776" s="3">
        <v>9.6999999999999993</v>
      </c>
    </row>
    <row r="777" spans="1:15" x14ac:dyDescent="0.25">
      <c r="A777" s="4" t="s">
        <v>836</v>
      </c>
      <c r="B777" s="5">
        <v>42</v>
      </c>
      <c r="C777" t="str" cm="1">
        <f t="array" ref="C777">_xlfn.IFS(B777&lt;=30,"Young",B777&lt;=50,"Middle-aged",B777&gt;50,"Older")</f>
        <v>Middle-aged</v>
      </c>
      <c r="D777" s="5" t="s">
        <v>19</v>
      </c>
      <c r="E777" s="5" t="s">
        <v>11</v>
      </c>
      <c r="F777" s="5">
        <f t="shared" si="51"/>
        <v>0</v>
      </c>
      <c r="G777" s="5">
        <f t="shared" si="48"/>
        <v>0</v>
      </c>
      <c r="H777" s="5">
        <f t="shared" si="49"/>
        <v>0</v>
      </c>
      <c r="I777" s="5">
        <f t="shared" si="50"/>
        <v>0</v>
      </c>
      <c r="J777" s="5">
        <v>850</v>
      </c>
      <c r="K777" s="5" t="s">
        <v>51</v>
      </c>
      <c r="L777" s="5">
        <v>51</v>
      </c>
      <c r="M777" t="str" cm="1">
        <f t="array" ref="M777">_xlfn.IFS(L777&lt;=14,"Short",L777&lt;=30,"Medium",L777&lt;=45,"Long",L777&lt;=60,"Very Long")</f>
        <v>Very Long</v>
      </c>
      <c r="N777" s="5" t="s">
        <v>41</v>
      </c>
      <c r="O777" s="6">
        <v>6.7</v>
      </c>
    </row>
    <row r="778" spans="1:15" x14ac:dyDescent="0.25">
      <c r="A778" s="1" t="s">
        <v>837</v>
      </c>
      <c r="B778" s="2">
        <v>39</v>
      </c>
      <c r="C778" t="str" cm="1">
        <f t="array" ref="C778">_xlfn.IFS(B778&lt;=30,"Young",B778&lt;=50,"Middle-aged",B778&gt;50,"Older")</f>
        <v>Middle-aged</v>
      </c>
      <c r="D778" s="2" t="s">
        <v>10</v>
      </c>
      <c r="E778" s="2" t="s">
        <v>11</v>
      </c>
      <c r="F778" s="2">
        <f t="shared" si="51"/>
        <v>0</v>
      </c>
      <c r="G778" s="2">
        <f t="shared" si="48"/>
        <v>0</v>
      </c>
      <c r="H778" s="2">
        <f t="shared" si="49"/>
        <v>0</v>
      </c>
      <c r="I778" s="2">
        <f t="shared" si="50"/>
        <v>0</v>
      </c>
      <c r="J778" s="2">
        <v>500</v>
      </c>
      <c r="K778" s="2" t="s">
        <v>12</v>
      </c>
      <c r="L778" s="2">
        <v>19</v>
      </c>
      <c r="M778" t="str" cm="1">
        <f t="array" ref="M778">_xlfn.IFS(L778&lt;=14,"Short",L778&lt;=30,"Medium",L778&lt;=45,"Long",L778&lt;=60,"Very Long")</f>
        <v>Medium</v>
      </c>
      <c r="N778" s="2" t="s">
        <v>30</v>
      </c>
      <c r="O778" s="3">
        <v>5.7</v>
      </c>
    </row>
    <row r="779" spans="1:15" x14ac:dyDescent="0.25">
      <c r="A779" s="4" t="s">
        <v>838</v>
      </c>
      <c r="B779" s="5">
        <v>30</v>
      </c>
      <c r="C779" t="str" cm="1">
        <f t="array" ref="C779">_xlfn.IFS(B779&lt;=30,"Young",B779&lt;=50,"Middle-aged",B779&gt;50,"Older")</f>
        <v>Young</v>
      </c>
      <c r="D779" s="5" t="s">
        <v>19</v>
      </c>
      <c r="E779" s="5" t="s">
        <v>11</v>
      </c>
      <c r="F779" s="5">
        <f t="shared" si="51"/>
        <v>0</v>
      </c>
      <c r="G779" s="5">
        <f t="shared" si="48"/>
        <v>0</v>
      </c>
      <c r="H779" s="5">
        <f t="shared" si="49"/>
        <v>0</v>
      </c>
      <c r="I779" s="5">
        <f t="shared" si="50"/>
        <v>0</v>
      </c>
      <c r="J779" s="5">
        <v>50</v>
      </c>
      <c r="K779" s="5" t="s">
        <v>12</v>
      </c>
      <c r="L779" s="5">
        <v>45</v>
      </c>
      <c r="M779" t="str" cm="1">
        <f t="array" ref="M779">_xlfn.IFS(L779&lt;=14,"Short",L779&lt;=30,"Medium",L779&lt;=45,"Long",L779&lt;=60,"Very Long")</f>
        <v>Long</v>
      </c>
      <c r="N779" s="5" t="s">
        <v>30</v>
      </c>
      <c r="O779" s="6">
        <v>6</v>
      </c>
    </row>
    <row r="780" spans="1:15" x14ac:dyDescent="0.25">
      <c r="A780" s="1" t="s">
        <v>839</v>
      </c>
      <c r="B780" s="2">
        <v>76</v>
      </c>
      <c r="C780" t="str" cm="1">
        <f t="array" ref="C780">_xlfn.IFS(B780&lt;=30,"Young",B780&lt;=50,"Middle-aged",B780&gt;50,"Older")</f>
        <v>Older</v>
      </c>
      <c r="D780" s="2" t="s">
        <v>10</v>
      </c>
      <c r="E780" s="2" t="s">
        <v>15</v>
      </c>
      <c r="F780" s="2">
        <f t="shared" si="51"/>
        <v>1</v>
      </c>
      <c r="G780" s="2">
        <f t="shared" si="48"/>
        <v>0</v>
      </c>
      <c r="H780" s="2">
        <f t="shared" si="49"/>
        <v>0</v>
      </c>
      <c r="I780" s="2">
        <f t="shared" si="50"/>
        <v>0</v>
      </c>
      <c r="J780" s="2">
        <v>50</v>
      </c>
      <c r="K780" s="2" t="s">
        <v>44</v>
      </c>
      <c r="L780" s="2">
        <v>23</v>
      </c>
      <c r="M780" t="str" cm="1">
        <f t="array" ref="M780">_xlfn.IFS(L780&lt;=14,"Short",L780&lt;=30,"Medium",L780&lt;=45,"Long",L780&lt;=60,"Very Long")</f>
        <v>Medium</v>
      </c>
      <c r="N780" s="2" t="s">
        <v>30</v>
      </c>
      <c r="O780" s="3">
        <v>5.4</v>
      </c>
    </row>
    <row r="781" spans="1:15" x14ac:dyDescent="0.25">
      <c r="A781" s="4" t="s">
        <v>840</v>
      </c>
      <c r="B781" s="5">
        <v>36</v>
      </c>
      <c r="C781" t="str" cm="1">
        <f t="array" ref="C781">_xlfn.IFS(B781&lt;=30,"Young",B781&lt;=50,"Middle-aged",B781&gt;50,"Older")</f>
        <v>Middle-aged</v>
      </c>
      <c r="D781" s="5" t="s">
        <v>19</v>
      </c>
      <c r="E781" s="5" t="s">
        <v>24</v>
      </c>
      <c r="F781" s="5">
        <f t="shared" si="51"/>
        <v>0</v>
      </c>
      <c r="G781" s="5">
        <f t="shared" si="48"/>
        <v>0</v>
      </c>
      <c r="H781" s="5">
        <f t="shared" si="49"/>
        <v>1</v>
      </c>
      <c r="I781" s="5">
        <f t="shared" si="50"/>
        <v>0</v>
      </c>
      <c r="J781" s="5">
        <v>100</v>
      </c>
      <c r="K781" s="5" t="s">
        <v>39</v>
      </c>
      <c r="L781" s="5">
        <v>30</v>
      </c>
      <c r="M781" t="str" cm="1">
        <f t="array" ref="M781">_xlfn.IFS(L781&lt;=14,"Short",L781&lt;=30,"Medium",L781&lt;=45,"Long",L781&lt;=60,"Very Long")</f>
        <v>Medium</v>
      </c>
      <c r="N781" s="5" t="s">
        <v>85</v>
      </c>
      <c r="O781" s="6">
        <v>5.8</v>
      </c>
    </row>
    <row r="782" spans="1:15" x14ac:dyDescent="0.25">
      <c r="A782" s="1" t="s">
        <v>841</v>
      </c>
      <c r="B782" s="2">
        <v>66</v>
      </c>
      <c r="C782" t="str" cm="1">
        <f t="array" ref="C782">_xlfn.IFS(B782&lt;=30,"Young",B782&lt;=50,"Middle-aged",B782&gt;50,"Older")</f>
        <v>Older</v>
      </c>
      <c r="D782" s="2" t="s">
        <v>10</v>
      </c>
      <c r="E782" s="2" t="s">
        <v>15</v>
      </c>
      <c r="F782" s="2">
        <f t="shared" si="51"/>
        <v>1</v>
      </c>
      <c r="G782" s="2">
        <f t="shared" si="48"/>
        <v>0</v>
      </c>
      <c r="H782" s="2">
        <f t="shared" si="49"/>
        <v>0</v>
      </c>
      <c r="I782" s="2">
        <f t="shared" si="50"/>
        <v>0</v>
      </c>
      <c r="J782" s="2">
        <v>250</v>
      </c>
      <c r="K782" s="2" t="s">
        <v>44</v>
      </c>
      <c r="L782" s="2">
        <v>56</v>
      </c>
      <c r="M782" t="str" cm="1">
        <f t="array" ref="M782">_xlfn.IFS(L782&lt;=14,"Short",L782&lt;=30,"Medium",L782&lt;=45,"Long",L782&lt;=60,"Very Long")</f>
        <v>Very Long</v>
      </c>
      <c r="N782" s="2" t="s">
        <v>95</v>
      </c>
      <c r="O782" s="3">
        <v>6.4</v>
      </c>
    </row>
    <row r="783" spans="1:15" x14ac:dyDescent="0.25">
      <c r="A783" s="4" t="s">
        <v>842</v>
      </c>
      <c r="B783" s="5">
        <v>53</v>
      </c>
      <c r="C783" t="str" cm="1">
        <f t="array" ref="C783">_xlfn.IFS(B783&lt;=30,"Young",B783&lt;=50,"Middle-aged",B783&gt;50,"Older")</f>
        <v>Older</v>
      </c>
      <c r="D783" s="5" t="s">
        <v>10</v>
      </c>
      <c r="E783" s="5" t="s">
        <v>33</v>
      </c>
      <c r="F783" s="5">
        <f t="shared" si="51"/>
        <v>0</v>
      </c>
      <c r="G783" s="5">
        <f t="shared" si="48"/>
        <v>0</v>
      </c>
      <c r="H783" s="5">
        <f t="shared" si="49"/>
        <v>0</v>
      </c>
      <c r="I783" s="5">
        <f t="shared" si="50"/>
        <v>1</v>
      </c>
      <c r="J783" s="5">
        <v>50</v>
      </c>
      <c r="K783" s="5" t="s">
        <v>49</v>
      </c>
      <c r="L783" s="5">
        <v>33</v>
      </c>
      <c r="M783" t="str" cm="1">
        <f t="array" ref="M783">_xlfn.IFS(L783&lt;=14,"Short",L783&lt;=30,"Medium",L783&lt;=45,"Long",L783&lt;=60,"Very Long")</f>
        <v>Long</v>
      </c>
      <c r="N783" s="5" t="s">
        <v>30</v>
      </c>
      <c r="O783" s="6">
        <v>4.9000000000000004</v>
      </c>
    </row>
    <row r="784" spans="1:15" x14ac:dyDescent="0.25">
      <c r="A784" s="1" t="s">
        <v>843</v>
      </c>
      <c r="B784" s="2">
        <v>29</v>
      </c>
      <c r="C784" t="str" cm="1">
        <f t="array" ref="C784">_xlfn.IFS(B784&lt;=30,"Young",B784&lt;=50,"Middle-aged",B784&gt;50,"Older")</f>
        <v>Young</v>
      </c>
      <c r="D784" s="2" t="s">
        <v>10</v>
      </c>
      <c r="E784" s="2" t="s">
        <v>15</v>
      </c>
      <c r="F784" s="2">
        <f t="shared" si="51"/>
        <v>1</v>
      </c>
      <c r="G784" s="2">
        <f t="shared" si="48"/>
        <v>0</v>
      </c>
      <c r="H784" s="2">
        <f t="shared" si="49"/>
        <v>0</v>
      </c>
      <c r="I784" s="2">
        <f t="shared" si="50"/>
        <v>0</v>
      </c>
      <c r="J784" s="2">
        <v>100</v>
      </c>
      <c r="K784" s="2" t="s">
        <v>44</v>
      </c>
      <c r="L784" s="2">
        <v>26</v>
      </c>
      <c r="M784" t="str" cm="1">
        <f t="array" ref="M784">_xlfn.IFS(L784&lt;=14,"Short",L784&lt;=30,"Medium",L784&lt;=45,"Long",L784&lt;=60,"Very Long")</f>
        <v>Medium</v>
      </c>
      <c r="N784" s="2" t="s">
        <v>101</v>
      </c>
      <c r="O784" s="3">
        <v>7</v>
      </c>
    </row>
    <row r="785" spans="1:15" x14ac:dyDescent="0.25">
      <c r="A785" s="4" t="s">
        <v>844</v>
      </c>
      <c r="B785" s="5">
        <v>78</v>
      </c>
      <c r="C785" t="str" cm="1">
        <f t="array" ref="C785">_xlfn.IFS(B785&lt;=30,"Young",B785&lt;=50,"Middle-aged",B785&gt;50,"Older")</f>
        <v>Older</v>
      </c>
      <c r="D785" s="5" t="s">
        <v>19</v>
      </c>
      <c r="E785" s="5" t="s">
        <v>33</v>
      </c>
      <c r="F785" s="5">
        <f t="shared" si="51"/>
        <v>0</v>
      </c>
      <c r="G785" s="5">
        <f t="shared" si="48"/>
        <v>0</v>
      </c>
      <c r="H785" s="5">
        <f t="shared" si="49"/>
        <v>0</v>
      </c>
      <c r="I785" s="5">
        <f t="shared" si="50"/>
        <v>1</v>
      </c>
      <c r="J785" s="5">
        <v>500</v>
      </c>
      <c r="K785" s="5" t="s">
        <v>47</v>
      </c>
      <c r="L785" s="5">
        <v>44</v>
      </c>
      <c r="M785" t="str" cm="1">
        <f t="array" ref="M785">_xlfn.IFS(L785&lt;=14,"Short",L785&lt;=30,"Medium",L785&lt;=45,"Long",L785&lt;=60,"Very Long")</f>
        <v>Long</v>
      </c>
      <c r="N785" s="5" t="s">
        <v>345</v>
      </c>
      <c r="O785" s="6">
        <v>8.4</v>
      </c>
    </row>
    <row r="786" spans="1:15" x14ac:dyDescent="0.25">
      <c r="A786" s="1" t="s">
        <v>845</v>
      </c>
      <c r="B786" s="2">
        <v>58</v>
      </c>
      <c r="C786" t="str" cm="1">
        <f t="array" ref="C786">_xlfn.IFS(B786&lt;=30,"Young",B786&lt;=50,"Middle-aged",B786&gt;50,"Older")</f>
        <v>Older</v>
      </c>
      <c r="D786" s="2" t="s">
        <v>19</v>
      </c>
      <c r="E786" s="2" t="s">
        <v>33</v>
      </c>
      <c r="F786" s="2">
        <f t="shared" si="51"/>
        <v>0</v>
      </c>
      <c r="G786" s="2">
        <f t="shared" si="48"/>
        <v>0</v>
      </c>
      <c r="H786" s="2">
        <f t="shared" si="49"/>
        <v>0</v>
      </c>
      <c r="I786" s="2">
        <f t="shared" si="50"/>
        <v>1</v>
      </c>
      <c r="J786" s="2">
        <v>850</v>
      </c>
      <c r="K786" s="2" t="s">
        <v>47</v>
      </c>
      <c r="L786" s="2">
        <v>25</v>
      </c>
      <c r="M786" t="str" cm="1">
        <f t="array" ref="M786">_xlfn.IFS(L786&lt;=14,"Short",L786&lt;=30,"Medium",L786&lt;=45,"Long",L786&lt;=60,"Very Long")</f>
        <v>Medium</v>
      </c>
      <c r="N786" s="2" t="s">
        <v>225</v>
      </c>
      <c r="O786" s="3">
        <v>5.6</v>
      </c>
    </row>
    <row r="787" spans="1:15" x14ac:dyDescent="0.25">
      <c r="A787" s="4" t="s">
        <v>846</v>
      </c>
      <c r="B787" s="5">
        <v>36</v>
      </c>
      <c r="C787" t="str" cm="1">
        <f t="array" ref="C787">_xlfn.IFS(B787&lt;=30,"Young",B787&lt;=50,"Middle-aged",B787&gt;50,"Older")</f>
        <v>Middle-aged</v>
      </c>
      <c r="D787" s="5" t="s">
        <v>10</v>
      </c>
      <c r="E787" s="5" t="s">
        <v>20</v>
      </c>
      <c r="F787" s="5">
        <f t="shared" si="51"/>
        <v>0</v>
      </c>
      <c r="G787" s="5">
        <f t="shared" si="48"/>
        <v>1</v>
      </c>
      <c r="H787" s="5">
        <f t="shared" si="49"/>
        <v>0</v>
      </c>
      <c r="I787" s="5">
        <f t="shared" si="50"/>
        <v>0</v>
      </c>
      <c r="J787" s="5">
        <v>500</v>
      </c>
      <c r="K787" s="5" t="s">
        <v>21</v>
      </c>
      <c r="L787" s="5">
        <v>55</v>
      </c>
      <c r="M787" t="str" cm="1">
        <f t="array" ref="M787">_xlfn.IFS(L787&lt;=14,"Short",L787&lt;=30,"Medium",L787&lt;=45,"Long",L787&lt;=60,"Very Long")</f>
        <v>Very Long</v>
      </c>
      <c r="N787" s="5" t="s">
        <v>41</v>
      </c>
      <c r="O787" s="6">
        <v>9.3000000000000007</v>
      </c>
    </row>
    <row r="788" spans="1:15" x14ac:dyDescent="0.25">
      <c r="A788" s="1" t="s">
        <v>847</v>
      </c>
      <c r="B788" s="2">
        <v>29</v>
      </c>
      <c r="C788" t="str" cm="1">
        <f t="array" ref="C788">_xlfn.IFS(B788&lt;=30,"Young",B788&lt;=50,"Middle-aged",B788&gt;50,"Older")</f>
        <v>Young</v>
      </c>
      <c r="D788" s="2" t="s">
        <v>10</v>
      </c>
      <c r="E788" s="2" t="s">
        <v>11</v>
      </c>
      <c r="F788" s="2">
        <f t="shared" si="51"/>
        <v>0</v>
      </c>
      <c r="G788" s="2">
        <f t="shared" si="48"/>
        <v>0</v>
      </c>
      <c r="H788" s="2">
        <f t="shared" si="49"/>
        <v>0</v>
      </c>
      <c r="I788" s="2">
        <f t="shared" si="50"/>
        <v>0</v>
      </c>
      <c r="J788" s="2">
        <v>50</v>
      </c>
      <c r="K788" s="2" t="s">
        <v>12</v>
      </c>
      <c r="L788" s="2">
        <v>42</v>
      </c>
      <c r="M788" t="str" cm="1">
        <f t="array" ref="M788">_xlfn.IFS(L788&lt;=14,"Short",L788&lt;=30,"Medium",L788&lt;=45,"Long",L788&lt;=60,"Very Long")</f>
        <v>Long</v>
      </c>
      <c r="N788" s="2" t="s">
        <v>120</v>
      </c>
      <c r="O788" s="3">
        <v>7.8</v>
      </c>
    </row>
    <row r="789" spans="1:15" x14ac:dyDescent="0.25">
      <c r="A789" s="4" t="s">
        <v>848</v>
      </c>
      <c r="B789" s="5">
        <v>26</v>
      </c>
      <c r="C789" t="str" cm="1">
        <f t="array" ref="C789">_xlfn.IFS(B789&lt;=30,"Young",B789&lt;=50,"Middle-aged",B789&gt;50,"Older")</f>
        <v>Young</v>
      </c>
      <c r="D789" s="5" t="s">
        <v>19</v>
      </c>
      <c r="E789" s="5" t="s">
        <v>33</v>
      </c>
      <c r="F789" s="5">
        <f t="shared" si="51"/>
        <v>0</v>
      </c>
      <c r="G789" s="5">
        <f t="shared" si="48"/>
        <v>0</v>
      </c>
      <c r="H789" s="5">
        <f t="shared" si="49"/>
        <v>0</v>
      </c>
      <c r="I789" s="5">
        <f t="shared" si="50"/>
        <v>1</v>
      </c>
      <c r="J789" s="5">
        <v>100</v>
      </c>
      <c r="K789" s="5" t="s">
        <v>47</v>
      </c>
      <c r="L789" s="5">
        <v>24</v>
      </c>
      <c r="M789" t="str" cm="1">
        <f t="array" ref="M789">_xlfn.IFS(L789&lt;=14,"Short",L789&lt;=30,"Medium",L789&lt;=45,"Long",L789&lt;=60,"Very Long")</f>
        <v>Medium</v>
      </c>
      <c r="N789" s="5" t="s">
        <v>13</v>
      </c>
      <c r="O789" s="6">
        <v>8.5</v>
      </c>
    </row>
    <row r="790" spans="1:15" x14ac:dyDescent="0.25">
      <c r="A790" s="1" t="s">
        <v>849</v>
      </c>
      <c r="B790" s="2">
        <v>24</v>
      </c>
      <c r="C790" t="str" cm="1">
        <f t="array" ref="C790">_xlfn.IFS(B790&lt;=30,"Young",B790&lt;=50,"Middle-aged",B790&gt;50,"Older")</f>
        <v>Young</v>
      </c>
      <c r="D790" s="2" t="s">
        <v>19</v>
      </c>
      <c r="E790" s="2" t="s">
        <v>20</v>
      </c>
      <c r="F790" s="2">
        <f t="shared" si="51"/>
        <v>0</v>
      </c>
      <c r="G790" s="2">
        <f t="shared" si="48"/>
        <v>1</v>
      </c>
      <c r="H790" s="2">
        <f t="shared" si="49"/>
        <v>0</v>
      </c>
      <c r="I790" s="2">
        <f t="shared" si="50"/>
        <v>0</v>
      </c>
      <c r="J790" s="2">
        <v>500</v>
      </c>
      <c r="K790" s="2" t="s">
        <v>21</v>
      </c>
      <c r="L790" s="2">
        <v>33</v>
      </c>
      <c r="M790" t="str" cm="1">
        <f t="array" ref="M790">_xlfn.IFS(L790&lt;=14,"Short",L790&lt;=30,"Medium",L790&lt;=45,"Long",L790&lt;=60,"Very Long")</f>
        <v>Long</v>
      </c>
      <c r="N790" s="2" t="s">
        <v>22</v>
      </c>
      <c r="O790" s="3">
        <v>6</v>
      </c>
    </row>
    <row r="791" spans="1:15" x14ac:dyDescent="0.25">
      <c r="A791" s="4" t="s">
        <v>850</v>
      </c>
      <c r="B791" s="5">
        <v>45</v>
      </c>
      <c r="C791" t="str" cm="1">
        <f t="array" ref="C791">_xlfn.IFS(B791&lt;=30,"Young",B791&lt;=50,"Middle-aged",B791&gt;50,"Older")</f>
        <v>Middle-aged</v>
      </c>
      <c r="D791" s="5" t="s">
        <v>19</v>
      </c>
      <c r="E791" s="5" t="s">
        <v>11</v>
      </c>
      <c r="F791" s="5">
        <f t="shared" si="51"/>
        <v>0</v>
      </c>
      <c r="G791" s="5">
        <f t="shared" si="48"/>
        <v>0</v>
      </c>
      <c r="H791" s="5">
        <f t="shared" si="49"/>
        <v>0</v>
      </c>
      <c r="I791" s="5">
        <f t="shared" si="50"/>
        <v>0</v>
      </c>
      <c r="J791" s="5">
        <v>250</v>
      </c>
      <c r="K791" s="5" t="s">
        <v>84</v>
      </c>
      <c r="L791" s="5">
        <v>55</v>
      </c>
      <c r="M791" t="str" cm="1">
        <f t="array" ref="M791">_xlfn.IFS(L791&lt;=14,"Short",L791&lt;=30,"Medium",L791&lt;=45,"Long",L791&lt;=60,"Very Long")</f>
        <v>Very Long</v>
      </c>
      <c r="N791" s="5" t="s">
        <v>85</v>
      </c>
      <c r="O791" s="6">
        <v>8.3000000000000007</v>
      </c>
    </row>
    <row r="792" spans="1:15" x14ac:dyDescent="0.25">
      <c r="A792" s="1" t="s">
        <v>851</v>
      </c>
      <c r="B792" s="2">
        <v>31</v>
      </c>
      <c r="C792" t="str" cm="1">
        <f t="array" ref="C792">_xlfn.IFS(B792&lt;=30,"Young",B792&lt;=50,"Middle-aged",B792&gt;50,"Older")</f>
        <v>Middle-aged</v>
      </c>
      <c r="D792" s="2" t="s">
        <v>10</v>
      </c>
      <c r="E792" s="2" t="s">
        <v>33</v>
      </c>
      <c r="F792" s="2">
        <f t="shared" si="51"/>
        <v>0</v>
      </c>
      <c r="G792" s="2">
        <f t="shared" si="48"/>
        <v>0</v>
      </c>
      <c r="H792" s="2">
        <f t="shared" si="49"/>
        <v>0</v>
      </c>
      <c r="I792" s="2">
        <f t="shared" si="50"/>
        <v>1</v>
      </c>
      <c r="J792" s="2">
        <v>250</v>
      </c>
      <c r="K792" s="2" t="s">
        <v>47</v>
      </c>
      <c r="L792" s="2">
        <v>8</v>
      </c>
      <c r="M792" t="str" cm="1">
        <f t="array" ref="M792">_xlfn.IFS(L792&lt;=14,"Short",L792&lt;=30,"Medium",L792&lt;=45,"Long",L792&lt;=60,"Very Long")</f>
        <v>Short</v>
      </c>
      <c r="N792" s="2" t="s">
        <v>345</v>
      </c>
      <c r="O792" s="3">
        <v>5.4</v>
      </c>
    </row>
    <row r="793" spans="1:15" x14ac:dyDescent="0.25">
      <c r="A793" s="4" t="s">
        <v>852</v>
      </c>
      <c r="B793" s="5">
        <v>48</v>
      </c>
      <c r="C793" t="str" cm="1">
        <f t="array" ref="C793">_xlfn.IFS(B793&lt;=30,"Young",B793&lt;=50,"Middle-aged",B793&gt;50,"Older")</f>
        <v>Middle-aged</v>
      </c>
      <c r="D793" s="5" t="s">
        <v>19</v>
      </c>
      <c r="E793" s="5" t="s">
        <v>33</v>
      </c>
      <c r="F793" s="5">
        <f t="shared" si="51"/>
        <v>0</v>
      </c>
      <c r="G793" s="5">
        <f t="shared" si="48"/>
        <v>0</v>
      </c>
      <c r="H793" s="5">
        <f t="shared" si="49"/>
        <v>0</v>
      </c>
      <c r="I793" s="5">
        <f t="shared" si="50"/>
        <v>1</v>
      </c>
      <c r="J793" s="5">
        <v>850</v>
      </c>
      <c r="K793" s="5" t="s">
        <v>47</v>
      </c>
      <c r="L793" s="5">
        <v>59</v>
      </c>
      <c r="M793" t="str" cm="1">
        <f t="array" ref="M793">_xlfn.IFS(L793&lt;=14,"Short",L793&lt;=30,"Medium",L793&lt;=45,"Long",L793&lt;=60,"Very Long")</f>
        <v>Very Long</v>
      </c>
      <c r="N793" s="5" t="s">
        <v>345</v>
      </c>
      <c r="O793" s="6">
        <v>8.3000000000000007</v>
      </c>
    </row>
    <row r="794" spans="1:15" x14ac:dyDescent="0.25">
      <c r="A794" s="1" t="s">
        <v>853</v>
      </c>
      <c r="B794" s="2">
        <v>69</v>
      </c>
      <c r="C794" t="str" cm="1">
        <f t="array" ref="C794">_xlfn.IFS(B794&lt;=30,"Young",B794&lt;=50,"Middle-aged",B794&gt;50,"Older")</f>
        <v>Older</v>
      </c>
      <c r="D794" s="2" t="s">
        <v>10</v>
      </c>
      <c r="E794" s="2" t="s">
        <v>15</v>
      </c>
      <c r="F794" s="2">
        <f t="shared" si="51"/>
        <v>1</v>
      </c>
      <c r="G794" s="2">
        <f t="shared" si="48"/>
        <v>0</v>
      </c>
      <c r="H794" s="2">
        <f t="shared" si="49"/>
        <v>0</v>
      </c>
      <c r="I794" s="2">
        <f t="shared" si="50"/>
        <v>0</v>
      </c>
      <c r="J794" s="2">
        <v>250</v>
      </c>
      <c r="K794" s="2" t="s">
        <v>44</v>
      </c>
      <c r="L794" s="2">
        <v>11</v>
      </c>
      <c r="M794" t="str" cm="1">
        <f t="array" ref="M794">_xlfn.IFS(L794&lt;=14,"Short",L794&lt;=30,"Medium",L794&lt;=45,"Long",L794&lt;=60,"Very Long")</f>
        <v>Short</v>
      </c>
      <c r="N794" s="2" t="s">
        <v>101</v>
      </c>
      <c r="O794" s="3">
        <v>7.3</v>
      </c>
    </row>
    <row r="795" spans="1:15" x14ac:dyDescent="0.25">
      <c r="A795" s="4" t="s">
        <v>854</v>
      </c>
      <c r="B795" s="5">
        <v>36</v>
      </c>
      <c r="C795" t="str" cm="1">
        <f t="array" ref="C795">_xlfn.IFS(B795&lt;=30,"Young",B795&lt;=50,"Middle-aged",B795&gt;50,"Older")</f>
        <v>Middle-aged</v>
      </c>
      <c r="D795" s="5" t="s">
        <v>19</v>
      </c>
      <c r="E795" s="5" t="s">
        <v>15</v>
      </c>
      <c r="F795" s="5">
        <f t="shared" si="51"/>
        <v>1</v>
      </c>
      <c r="G795" s="5">
        <f t="shared" si="48"/>
        <v>0</v>
      </c>
      <c r="H795" s="5">
        <f t="shared" si="49"/>
        <v>0</v>
      </c>
      <c r="I795" s="5">
        <f t="shared" si="50"/>
        <v>0</v>
      </c>
      <c r="J795" s="5">
        <v>50</v>
      </c>
      <c r="K795" s="5" t="s">
        <v>16</v>
      </c>
      <c r="L795" s="5">
        <v>32</v>
      </c>
      <c r="M795" t="str" cm="1">
        <f t="array" ref="M795">_xlfn.IFS(L795&lt;=14,"Short",L795&lt;=30,"Medium",L795&lt;=45,"Long",L795&lt;=60,"Very Long")</f>
        <v>Long</v>
      </c>
      <c r="N795" s="5" t="s">
        <v>308</v>
      </c>
      <c r="O795" s="6">
        <v>7.8</v>
      </c>
    </row>
    <row r="796" spans="1:15" x14ac:dyDescent="0.25">
      <c r="A796" s="1" t="s">
        <v>855</v>
      </c>
      <c r="B796" s="2">
        <v>75</v>
      </c>
      <c r="C796" t="str" cm="1">
        <f t="array" ref="C796">_xlfn.IFS(B796&lt;=30,"Young",B796&lt;=50,"Middle-aged",B796&gt;50,"Older")</f>
        <v>Older</v>
      </c>
      <c r="D796" s="2" t="s">
        <v>10</v>
      </c>
      <c r="E796" s="2" t="s">
        <v>11</v>
      </c>
      <c r="F796" s="2">
        <f t="shared" si="51"/>
        <v>0</v>
      </c>
      <c r="G796" s="2">
        <f t="shared" si="48"/>
        <v>0</v>
      </c>
      <c r="H796" s="2">
        <f t="shared" si="49"/>
        <v>0</v>
      </c>
      <c r="I796" s="2">
        <f t="shared" si="50"/>
        <v>0</v>
      </c>
      <c r="J796" s="2">
        <v>50</v>
      </c>
      <c r="K796" s="2" t="s">
        <v>12</v>
      </c>
      <c r="L796" s="2">
        <v>32</v>
      </c>
      <c r="M796" t="str" cm="1">
        <f t="array" ref="M796">_xlfn.IFS(L796&lt;=14,"Short",L796&lt;=30,"Medium",L796&lt;=45,"Long",L796&lt;=60,"Very Long")</f>
        <v>Long</v>
      </c>
      <c r="N796" s="2" t="s">
        <v>30</v>
      </c>
      <c r="O796" s="3">
        <v>5.2</v>
      </c>
    </row>
    <row r="797" spans="1:15" x14ac:dyDescent="0.25">
      <c r="A797" s="4" t="s">
        <v>856</v>
      </c>
      <c r="B797" s="5">
        <v>64</v>
      </c>
      <c r="C797" t="str" cm="1">
        <f t="array" ref="C797">_xlfn.IFS(B797&lt;=30,"Young",B797&lt;=50,"Middle-aged",B797&gt;50,"Older")</f>
        <v>Older</v>
      </c>
      <c r="D797" s="5" t="s">
        <v>19</v>
      </c>
      <c r="E797" s="5" t="s">
        <v>33</v>
      </c>
      <c r="F797" s="5">
        <f t="shared" si="51"/>
        <v>0</v>
      </c>
      <c r="G797" s="5">
        <f t="shared" si="48"/>
        <v>0</v>
      </c>
      <c r="H797" s="5">
        <f t="shared" si="49"/>
        <v>0</v>
      </c>
      <c r="I797" s="5">
        <f t="shared" si="50"/>
        <v>1</v>
      </c>
      <c r="J797" s="5">
        <v>250</v>
      </c>
      <c r="K797" s="5" t="s">
        <v>47</v>
      </c>
      <c r="L797" s="5">
        <v>8</v>
      </c>
      <c r="M797" t="str" cm="1">
        <f t="array" ref="M797">_xlfn.IFS(L797&lt;=14,"Short",L797&lt;=30,"Medium",L797&lt;=45,"Long",L797&lt;=60,"Very Long")</f>
        <v>Short</v>
      </c>
      <c r="N797" s="5" t="s">
        <v>13</v>
      </c>
      <c r="O797" s="6">
        <v>5.7</v>
      </c>
    </row>
    <row r="798" spans="1:15" x14ac:dyDescent="0.25">
      <c r="A798" s="1" t="s">
        <v>857</v>
      </c>
      <c r="B798" s="2">
        <v>33</v>
      </c>
      <c r="C798" t="str" cm="1">
        <f t="array" ref="C798">_xlfn.IFS(B798&lt;=30,"Young",B798&lt;=50,"Middle-aged",B798&gt;50,"Older")</f>
        <v>Middle-aged</v>
      </c>
      <c r="D798" s="2" t="s">
        <v>19</v>
      </c>
      <c r="E798" s="2" t="s">
        <v>24</v>
      </c>
      <c r="F798" s="2">
        <f t="shared" si="51"/>
        <v>0</v>
      </c>
      <c r="G798" s="2">
        <f t="shared" si="48"/>
        <v>0</v>
      </c>
      <c r="H798" s="2">
        <f t="shared" si="49"/>
        <v>1</v>
      </c>
      <c r="I798" s="2">
        <f t="shared" si="50"/>
        <v>0</v>
      </c>
      <c r="J798" s="2">
        <v>250</v>
      </c>
      <c r="K798" s="2" t="s">
        <v>25</v>
      </c>
      <c r="L798" s="2">
        <v>26</v>
      </c>
      <c r="M798" t="str" cm="1">
        <f t="array" ref="M798">_xlfn.IFS(L798&lt;=14,"Short",L798&lt;=30,"Medium",L798&lt;=45,"Long",L798&lt;=60,"Very Long")</f>
        <v>Medium</v>
      </c>
      <c r="N798" s="2" t="s">
        <v>13</v>
      </c>
      <c r="O798" s="3">
        <v>7.9</v>
      </c>
    </row>
    <row r="799" spans="1:15" x14ac:dyDescent="0.25">
      <c r="A799" s="4" t="s">
        <v>858</v>
      </c>
      <c r="B799" s="5">
        <v>70</v>
      </c>
      <c r="C799" t="str" cm="1">
        <f t="array" ref="C799">_xlfn.IFS(B799&lt;=30,"Young",B799&lt;=50,"Middle-aged",B799&gt;50,"Older")</f>
        <v>Older</v>
      </c>
      <c r="D799" s="5" t="s">
        <v>19</v>
      </c>
      <c r="E799" s="5" t="s">
        <v>15</v>
      </c>
      <c r="F799" s="5">
        <f t="shared" si="51"/>
        <v>1</v>
      </c>
      <c r="G799" s="5">
        <f t="shared" si="48"/>
        <v>0</v>
      </c>
      <c r="H799" s="5">
        <f t="shared" si="49"/>
        <v>0</v>
      </c>
      <c r="I799" s="5">
        <f t="shared" si="50"/>
        <v>0</v>
      </c>
      <c r="J799" s="5">
        <v>50</v>
      </c>
      <c r="K799" s="5" t="s">
        <v>16</v>
      </c>
      <c r="L799" s="5">
        <v>16</v>
      </c>
      <c r="M799" t="str" cm="1">
        <f t="array" ref="M799">_xlfn.IFS(L799&lt;=14,"Short",L799&lt;=30,"Medium",L799&lt;=45,"Long",L799&lt;=60,"Very Long")</f>
        <v>Medium</v>
      </c>
      <c r="N799" s="5" t="s">
        <v>308</v>
      </c>
      <c r="O799" s="6">
        <v>5.6</v>
      </c>
    </row>
    <row r="800" spans="1:15" x14ac:dyDescent="0.25">
      <c r="A800" s="1" t="s">
        <v>859</v>
      </c>
      <c r="B800" s="2">
        <v>22</v>
      </c>
      <c r="C800" t="str" cm="1">
        <f t="array" ref="C800">_xlfn.IFS(B800&lt;=30,"Young",B800&lt;=50,"Middle-aged",B800&gt;50,"Older")</f>
        <v>Young</v>
      </c>
      <c r="D800" s="2" t="s">
        <v>19</v>
      </c>
      <c r="E800" s="2" t="s">
        <v>11</v>
      </c>
      <c r="F800" s="2">
        <f t="shared" si="51"/>
        <v>0</v>
      </c>
      <c r="G800" s="2">
        <f t="shared" si="48"/>
        <v>0</v>
      </c>
      <c r="H800" s="2">
        <f t="shared" si="49"/>
        <v>0</v>
      </c>
      <c r="I800" s="2">
        <f t="shared" si="50"/>
        <v>0</v>
      </c>
      <c r="J800" s="2">
        <v>50</v>
      </c>
      <c r="K800" s="2" t="s">
        <v>51</v>
      </c>
      <c r="L800" s="2">
        <v>49</v>
      </c>
      <c r="M800" t="str" cm="1">
        <f t="array" ref="M800">_xlfn.IFS(L800&lt;=14,"Short",L800&lt;=30,"Medium",L800&lt;=45,"Long",L800&lt;=60,"Very Long")</f>
        <v>Very Long</v>
      </c>
      <c r="N800" s="2" t="s">
        <v>41</v>
      </c>
      <c r="O800" s="3">
        <v>7.7</v>
      </c>
    </row>
    <row r="801" spans="1:15" x14ac:dyDescent="0.25">
      <c r="A801" s="4" t="s">
        <v>860</v>
      </c>
      <c r="B801" s="5">
        <v>52</v>
      </c>
      <c r="C801" t="str" cm="1">
        <f t="array" ref="C801">_xlfn.IFS(B801&lt;=30,"Young",B801&lt;=50,"Middle-aged",B801&gt;50,"Older")</f>
        <v>Older</v>
      </c>
      <c r="D801" s="5" t="s">
        <v>19</v>
      </c>
      <c r="E801" s="5" t="s">
        <v>33</v>
      </c>
      <c r="F801" s="5">
        <f t="shared" si="51"/>
        <v>0</v>
      </c>
      <c r="G801" s="5">
        <f t="shared" si="48"/>
        <v>0</v>
      </c>
      <c r="H801" s="5">
        <f t="shared" si="49"/>
        <v>0</v>
      </c>
      <c r="I801" s="5">
        <f t="shared" si="50"/>
        <v>1</v>
      </c>
      <c r="J801" s="5">
        <v>500</v>
      </c>
      <c r="K801" s="5" t="s">
        <v>34</v>
      </c>
      <c r="L801" s="5">
        <v>7</v>
      </c>
      <c r="M801" t="str" cm="1">
        <f t="array" ref="M801">_xlfn.IFS(L801&lt;=14,"Short",L801&lt;=30,"Medium",L801&lt;=45,"Long",L801&lt;=60,"Very Long")</f>
        <v>Short</v>
      </c>
      <c r="N801" s="5" t="s">
        <v>35</v>
      </c>
      <c r="O801" s="6">
        <v>4.9000000000000004</v>
      </c>
    </row>
    <row r="802" spans="1:15" x14ac:dyDescent="0.25">
      <c r="A802" s="1" t="s">
        <v>861</v>
      </c>
      <c r="B802" s="2">
        <v>29</v>
      </c>
      <c r="C802" t="str" cm="1">
        <f t="array" ref="C802">_xlfn.IFS(B802&lt;=30,"Young",B802&lt;=50,"Middle-aged",B802&gt;50,"Older")</f>
        <v>Young</v>
      </c>
      <c r="D802" s="2" t="s">
        <v>10</v>
      </c>
      <c r="E802" s="2" t="s">
        <v>33</v>
      </c>
      <c r="F802" s="2">
        <f t="shared" si="51"/>
        <v>0</v>
      </c>
      <c r="G802" s="2">
        <f t="shared" si="48"/>
        <v>0</v>
      </c>
      <c r="H802" s="2">
        <f t="shared" si="49"/>
        <v>0</v>
      </c>
      <c r="I802" s="2">
        <f t="shared" si="50"/>
        <v>1</v>
      </c>
      <c r="J802" s="2">
        <v>500</v>
      </c>
      <c r="K802" s="2" t="s">
        <v>47</v>
      </c>
      <c r="L802" s="2">
        <v>26</v>
      </c>
      <c r="M802" t="str" cm="1">
        <f t="array" ref="M802">_xlfn.IFS(L802&lt;=14,"Short",L802&lt;=30,"Medium",L802&lt;=45,"Long",L802&lt;=60,"Very Long")</f>
        <v>Medium</v>
      </c>
      <c r="N802" s="2" t="s">
        <v>13</v>
      </c>
      <c r="O802" s="3">
        <v>8.3000000000000007</v>
      </c>
    </row>
    <row r="803" spans="1:15" x14ac:dyDescent="0.25">
      <c r="A803" s="4" t="s">
        <v>862</v>
      </c>
      <c r="B803" s="5">
        <v>42</v>
      </c>
      <c r="C803" t="str" cm="1">
        <f t="array" ref="C803">_xlfn.IFS(B803&lt;=30,"Young",B803&lt;=50,"Middle-aged",B803&gt;50,"Older")</f>
        <v>Middle-aged</v>
      </c>
      <c r="D803" s="5" t="s">
        <v>19</v>
      </c>
      <c r="E803" s="5" t="s">
        <v>24</v>
      </c>
      <c r="F803" s="5">
        <f t="shared" si="51"/>
        <v>0</v>
      </c>
      <c r="G803" s="5">
        <f t="shared" si="48"/>
        <v>0</v>
      </c>
      <c r="H803" s="5">
        <f t="shared" si="49"/>
        <v>1</v>
      </c>
      <c r="I803" s="5">
        <f t="shared" si="50"/>
        <v>0</v>
      </c>
      <c r="J803" s="5">
        <v>500</v>
      </c>
      <c r="K803" s="5" t="s">
        <v>59</v>
      </c>
      <c r="L803" s="5">
        <v>48</v>
      </c>
      <c r="M803" t="str" cm="1">
        <f t="array" ref="M803">_xlfn.IFS(L803&lt;=14,"Short",L803&lt;=30,"Medium",L803&lt;=45,"Long",L803&lt;=60,"Very Long")</f>
        <v>Very Long</v>
      </c>
      <c r="N803" s="5" t="s">
        <v>74</v>
      </c>
      <c r="O803" s="6">
        <v>5.2</v>
      </c>
    </row>
    <row r="804" spans="1:15" x14ac:dyDescent="0.25">
      <c r="A804" s="1" t="s">
        <v>863</v>
      </c>
      <c r="B804" s="2">
        <v>69</v>
      </c>
      <c r="C804" t="str" cm="1">
        <f t="array" ref="C804">_xlfn.IFS(B804&lt;=30,"Young",B804&lt;=50,"Middle-aged",B804&gt;50,"Older")</f>
        <v>Older</v>
      </c>
      <c r="D804" s="2" t="s">
        <v>19</v>
      </c>
      <c r="E804" s="2" t="s">
        <v>11</v>
      </c>
      <c r="F804" s="2">
        <f t="shared" si="51"/>
        <v>0</v>
      </c>
      <c r="G804" s="2">
        <f t="shared" si="48"/>
        <v>0</v>
      </c>
      <c r="H804" s="2">
        <f t="shared" si="49"/>
        <v>0</v>
      </c>
      <c r="I804" s="2">
        <f t="shared" si="50"/>
        <v>0</v>
      </c>
      <c r="J804" s="2">
        <v>850</v>
      </c>
      <c r="K804" s="2" t="s">
        <v>51</v>
      </c>
      <c r="L804" s="2">
        <v>6</v>
      </c>
      <c r="M804" t="str" cm="1">
        <f t="array" ref="M804">_xlfn.IFS(L804&lt;=14,"Short",L804&lt;=30,"Medium",L804&lt;=45,"Long",L804&lt;=60,"Very Long")</f>
        <v>Short</v>
      </c>
      <c r="N804" s="2" t="s">
        <v>13</v>
      </c>
      <c r="O804" s="3">
        <v>7.8</v>
      </c>
    </row>
    <row r="805" spans="1:15" x14ac:dyDescent="0.25">
      <c r="A805" s="4" t="s">
        <v>864</v>
      </c>
      <c r="B805" s="5">
        <v>76</v>
      </c>
      <c r="C805" t="str" cm="1">
        <f t="array" ref="C805">_xlfn.IFS(B805&lt;=30,"Young",B805&lt;=50,"Middle-aged",B805&gt;50,"Older")</f>
        <v>Older</v>
      </c>
      <c r="D805" s="5" t="s">
        <v>19</v>
      </c>
      <c r="E805" s="5" t="s">
        <v>33</v>
      </c>
      <c r="F805" s="5">
        <f t="shared" si="51"/>
        <v>0</v>
      </c>
      <c r="G805" s="5">
        <f t="shared" si="48"/>
        <v>0</v>
      </c>
      <c r="H805" s="5">
        <f t="shared" si="49"/>
        <v>0</v>
      </c>
      <c r="I805" s="5">
        <f t="shared" si="50"/>
        <v>1</v>
      </c>
      <c r="J805" s="5">
        <v>850</v>
      </c>
      <c r="K805" s="5" t="s">
        <v>49</v>
      </c>
      <c r="L805" s="5">
        <v>28</v>
      </c>
      <c r="M805" t="str" cm="1">
        <f t="array" ref="M805">_xlfn.IFS(L805&lt;=14,"Short",L805&lt;=30,"Medium",L805&lt;=45,"Long",L805&lt;=60,"Very Long")</f>
        <v>Medium</v>
      </c>
      <c r="N805" s="5" t="s">
        <v>30</v>
      </c>
      <c r="O805" s="6">
        <v>7.9</v>
      </c>
    </row>
    <row r="806" spans="1:15" x14ac:dyDescent="0.25">
      <c r="A806" s="1" t="s">
        <v>865</v>
      </c>
      <c r="B806" s="2">
        <v>38</v>
      </c>
      <c r="C806" t="str" cm="1">
        <f t="array" ref="C806">_xlfn.IFS(B806&lt;=30,"Young",B806&lt;=50,"Middle-aged",B806&gt;50,"Older")</f>
        <v>Middle-aged</v>
      </c>
      <c r="D806" s="2" t="s">
        <v>10</v>
      </c>
      <c r="E806" s="2" t="s">
        <v>15</v>
      </c>
      <c r="F806" s="2">
        <f t="shared" si="51"/>
        <v>1</v>
      </c>
      <c r="G806" s="2">
        <f t="shared" si="48"/>
        <v>0</v>
      </c>
      <c r="H806" s="2">
        <f t="shared" si="49"/>
        <v>0</v>
      </c>
      <c r="I806" s="2">
        <f t="shared" si="50"/>
        <v>0</v>
      </c>
      <c r="J806" s="2">
        <v>50</v>
      </c>
      <c r="K806" s="2" t="s">
        <v>44</v>
      </c>
      <c r="L806" s="2">
        <v>38</v>
      </c>
      <c r="M806" t="str" cm="1">
        <f t="array" ref="M806">_xlfn.IFS(L806&lt;=14,"Short",L806&lt;=30,"Medium",L806&lt;=45,"Long",L806&lt;=60,"Very Long")</f>
        <v>Long</v>
      </c>
      <c r="N806" s="2" t="s">
        <v>30</v>
      </c>
      <c r="O806" s="3">
        <v>6</v>
      </c>
    </row>
    <row r="807" spans="1:15" x14ac:dyDescent="0.25">
      <c r="A807" s="4" t="s">
        <v>866</v>
      </c>
      <c r="B807" s="5">
        <v>53</v>
      </c>
      <c r="C807" t="str" cm="1">
        <f t="array" ref="C807">_xlfn.IFS(B807&lt;=30,"Young",B807&lt;=50,"Middle-aged",B807&gt;50,"Older")</f>
        <v>Older</v>
      </c>
      <c r="D807" s="5" t="s">
        <v>19</v>
      </c>
      <c r="E807" s="5" t="s">
        <v>24</v>
      </c>
      <c r="F807" s="5">
        <f t="shared" si="51"/>
        <v>0</v>
      </c>
      <c r="G807" s="5">
        <f t="shared" si="48"/>
        <v>0</v>
      </c>
      <c r="H807" s="5">
        <f t="shared" si="49"/>
        <v>1</v>
      </c>
      <c r="I807" s="5">
        <f t="shared" si="50"/>
        <v>0</v>
      </c>
      <c r="J807" s="5">
        <v>100</v>
      </c>
      <c r="K807" s="5" t="s">
        <v>25</v>
      </c>
      <c r="L807" s="5">
        <v>31</v>
      </c>
      <c r="M807" t="str" cm="1">
        <f t="array" ref="M807">_xlfn.IFS(L807&lt;=14,"Short",L807&lt;=30,"Medium",L807&lt;=45,"Long",L807&lt;=60,"Very Long")</f>
        <v>Long</v>
      </c>
      <c r="N807" s="5" t="s">
        <v>13</v>
      </c>
      <c r="O807" s="6">
        <v>7.9</v>
      </c>
    </row>
    <row r="808" spans="1:15" x14ac:dyDescent="0.25">
      <c r="A808" s="1" t="s">
        <v>867</v>
      </c>
      <c r="B808" s="2">
        <v>70</v>
      </c>
      <c r="C808" t="str" cm="1">
        <f t="array" ref="C808">_xlfn.IFS(B808&lt;=30,"Young",B808&lt;=50,"Middle-aged",B808&gt;50,"Older")</f>
        <v>Older</v>
      </c>
      <c r="D808" s="2" t="s">
        <v>10</v>
      </c>
      <c r="E808" s="2" t="s">
        <v>11</v>
      </c>
      <c r="F808" s="2">
        <f t="shared" si="51"/>
        <v>0</v>
      </c>
      <c r="G808" s="2">
        <f t="shared" si="48"/>
        <v>0</v>
      </c>
      <c r="H808" s="2">
        <f t="shared" si="49"/>
        <v>0</v>
      </c>
      <c r="I808" s="2">
        <f t="shared" si="50"/>
        <v>0</v>
      </c>
      <c r="J808" s="2">
        <v>500</v>
      </c>
      <c r="K808" s="2" t="s">
        <v>12</v>
      </c>
      <c r="L808" s="2">
        <v>59</v>
      </c>
      <c r="M808" t="str" cm="1">
        <f t="array" ref="M808">_xlfn.IFS(L808&lt;=14,"Short",L808&lt;=30,"Medium",L808&lt;=45,"Long",L808&lt;=60,"Very Long")</f>
        <v>Very Long</v>
      </c>
      <c r="N808" s="2" t="s">
        <v>13</v>
      </c>
      <c r="O808" s="3">
        <v>7.4</v>
      </c>
    </row>
    <row r="809" spans="1:15" x14ac:dyDescent="0.25">
      <c r="A809" s="4" t="s">
        <v>868</v>
      </c>
      <c r="B809" s="5">
        <v>40</v>
      </c>
      <c r="C809" t="str" cm="1">
        <f t="array" ref="C809">_xlfn.IFS(B809&lt;=30,"Young",B809&lt;=50,"Middle-aged",B809&gt;50,"Older")</f>
        <v>Middle-aged</v>
      </c>
      <c r="D809" s="5" t="s">
        <v>19</v>
      </c>
      <c r="E809" s="5" t="s">
        <v>24</v>
      </c>
      <c r="F809" s="5">
        <f t="shared" si="51"/>
        <v>0</v>
      </c>
      <c r="G809" s="5">
        <f t="shared" si="48"/>
        <v>0</v>
      </c>
      <c r="H809" s="5">
        <f t="shared" si="49"/>
        <v>1</v>
      </c>
      <c r="I809" s="5">
        <f t="shared" si="50"/>
        <v>0</v>
      </c>
      <c r="J809" s="5">
        <v>250</v>
      </c>
      <c r="K809" s="5" t="s">
        <v>39</v>
      </c>
      <c r="L809" s="5">
        <v>45</v>
      </c>
      <c r="M809" t="str" cm="1">
        <f t="array" ref="M809">_xlfn.IFS(L809&lt;=14,"Short",L809&lt;=30,"Medium",L809&lt;=45,"Long",L809&lt;=60,"Very Long")</f>
        <v>Long</v>
      </c>
      <c r="N809" s="5" t="s">
        <v>13</v>
      </c>
      <c r="O809" s="6">
        <v>6.2</v>
      </c>
    </row>
    <row r="810" spans="1:15" x14ac:dyDescent="0.25">
      <c r="A810" s="1" t="s">
        <v>869</v>
      </c>
      <c r="B810" s="2">
        <v>33</v>
      </c>
      <c r="C810" t="str" cm="1">
        <f t="array" ref="C810">_xlfn.IFS(B810&lt;=30,"Young",B810&lt;=50,"Middle-aged",B810&gt;50,"Older")</f>
        <v>Middle-aged</v>
      </c>
      <c r="D810" s="2" t="s">
        <v>19</v>
      </c>
      <c r="E810" s="2" t="s">
        <v>15</v>
      </c>
      <c r="F810" s="2">
        <f t="shared" si="51"/>
        <v>1</v>
      </c>
      <c r="G810" s="2">
        <f t="shared" si="48"/>
        <v>0</v>
      </c>
      <c r="H810" s="2">
        <f t="shared" si="49"/>
        <v>0</v>
      </c>
      <c r="I810" s="2">
        <f t="shared" si="50"/>
        <v>0</v>
      </c>
      <c r="J810" s="2">
        <v>250</v>
      </c>
      <c r="K810" s="2" t="s">
        <v>44</v>
      </c>
      <c r="L810" s="2">
        <v>5</v>
      </c>
      <c r="M810" t="str" cm="1">
        <f t="array" ref="M810">_xlfn.IFS(L810&lt;=14,"Short",L810&lt;=30,"Medium",L810&lt;=45,"Long",L810&lt;=60,"Very Long")</f>
        <v>Short</v>
      </c>
      <c r="N810" s="2" t="s">
        <v>95</v>
      </c>
      <c r="O810" s="3">
        <v>5.5</v>
      </c>
    </row>
    <row r="811" spans="1:15" x14ac:dyDescent="0.25">
      <c r="A811" s="4" t="s">
        <v>870</v>
      </c>
      <c r="B811" s="5">
        <v>74</v>
      </c>
      <c r="C811" t="str" cm="1">
        <f t="array" ref="C811">_xlfn.IFS(B811&lt;=30,"Young",B811&lt;=50,"Middle-aged",B811&gt;50,"Older")</f>
        <v>Older</v>
      </c>
      <c r="D811" s="5" t="s">
        <v>10</v>
      </c>
      <c r="E811" s="5" t="s">
        <v>11</v>
      </c>
      <c r="F811" s="5">
        <f t="shared" si="51"/>
        <v>0</v>
      </c>
      <c r="G811" s="5">
        <f t="shared" si="48"/>
        <v>0</v>
      </c>
      <c r="H811" s="5">
        <f t="shared" si="49"/>
        <v>0</v>
      </c>
      <c r="I811" s="5">
        <f t="shared" si="50"/>
        <v>0</v>
      </c>
      <c r="J811" s="5">
        <v>850</v>
      </c>
      <c r="K811" s="5" t="s">
        <v>84</v>
      </c>
      <c r="L811" s="5">
        <v>12</v>
      </c>
      <c r="M811" t="str" cm="1">
        <f t="array" ref="M811">_xlfn.IFS(L811&lt;=14,"Short",L811&lt;=30,"Medium",L811&lt;=45,"Long",L811&lt;=60,"Very Long")</f>
        <v>Short</v>
      </c>
      <c r="N811" s="5" t="s">
        <v>93</v>
      </c>
      <c r="O811" s="6">
        <v>4.0999999999999996</v>
      </c>
    </row>
    <row r="812" spans="1:15" x14ac:dyDescent="0.25">
      <c r="A812" s="1" t="s">
        <v>871</v>
      </c>
      <c r="B812" s="2">
        <v>56</v>
      </c>
      <c r="C812" t="str" cm="1">
        <f t="array" ref="C812">_xlfn.IFS(B812&lt;=30,"Young",B812&lt;=50,"Middle-aged",B812&gt;50,"Older")</f>
        <v>Older</v>
      </c>
      <c r="D812" s="2" t="s">
        <v>19</v>
      </c>
      <c r="E812" s="2" t="s">
        <v>24</v>
      </c>
      <c r="F812" s="2">
        <f t="shared" si="51"/>
        <v>0</v>
      </c>
      <c r="G812" s="2">
        <f t="shared" si="48"/>
        <v>0</v>
      </c>
      <c r="H812" s="2">
        <f t="shared" si="49"/>
        <v>1</v>
      </c>
      <c r="I812" s="2">
        <f t="shared" si="50"/>
        <v>0</v>
      </c>
      <c r="J812" s="2">
        <v>100</v>
      </c>
      <c r="K812" s="2" t="s">
        <v>25</v>
      </c>
      <c r="L812" s="2">
        <v>27</v>
      </c>
      <c r="M812" t="str" cm="1">
        <f t="array" ref="M812">_xlfn.IFS(L812&lt;=14,"Short",L812&lt;=30,"Medium",L812&lt;=45,"Long",L812&lt;=60,"Very Long")</f>
        <v>Medium</v>
      </c>
      <c r="N812" s="2" t="s">
        <v>13</v>
      </c>
      <c r="O812" s="3">
        <v>7.5</v>
      </c>
    </row>
    <row r="813" spans="1:15" x14ac:dyDescent="0.25">
      <c r="A813" s="4" t="s">
        <v>872</v>
      </c>
      <c r="B813" s="5">
        <v>62</v>
      </c>
      <c r="C813" t="str" cm="1">
        <f t="array" ref="C813">_xlfn.IFS(B813&lt;=30,"Young",B813&lt;=50,"Middle-aged",B813&gt;50,"Older")</f>
        <v>Older</v>
      </c>
      <c r="D813" s="5" t="s">
        <v>10</v>
      </c>
      <c r="E813" s="5" t="s">
        <v>20</v>
      </c>
      <c r="F813" s="5">
        <f t="shared" si="51"/>
        <v>0</v>
      </c>
      <c r="G813" s="5">
        <f t="shared" si="48"/>
        <v>1</v>
      </c>
      <c r="H813" s="5">
        <f t="shared" si="49"/>
        <v>0</v>
      </c>
      <c r="I813" s="5">
        <f t="shared" si="50"/>
        <v>0</v>
      </c>
      <c r="J813" s="5">
        <v>100</v>
      </c>
      <c r="K813" s="5" t="s">
        <v>37</v>
      </c>
      <c r="L813" s="5">
        <v>42</v>
      </c>
      <c r="M813" t="str" cm="1">
        <f t="array" ref="M813">_xlfn.IFS(L813&lt;=14,"Short",L813&lt;=30,"Medium",L813&lt;=45,"Long",L813&lt;=60,"Very Long")</f>
        <v>Long</v>
      </c>
      <c r="N813" s="5" t="s">
        <v>88</v>
      </c>
      <c r="O813" s="6">
        <v>4.7</v>
      </c>
    </row>
    <row r="814" spans="1:15" x14ac:dyDescent="0.25">
      <c r="A814" s="1" t="s">
        <v>873</v>
      </c>
      <c r="B814" s="2">
        <v>70</v>
      </c>
      <c r="C814" t="str" cm="1">
        <f t="array" ref="C814">_xlfn.IFS(B814&lt;=30,"Young",B814&lt;=50,"Middle-aged",B814&gt;50,"Older")</f>
        <v>Older</v>
      </c>
      <c r="D814" s="2" t="s">
        <v>10</v>
      </c>
      <c r="E814" s="2" t="s">
        <v>15</v>
      </c>
      <c r="F814" s="2">
        <f t="shared" si="51"/>
        <v>1</v>
      </c>
      <c r="G814" s="2">
        <f t="shared" si="48"/>
        <v>0</v>
      </c>
      <c r="H814" s="2">
        <f t="shared" si="49"/>
        <v>0</v>
      </c>
      <c r="I814" s="2">
        <f t="shared" si="50"/>
        <v>0</v>
      </c>
      <c r="J814" s="2">
        <v>50</v>
      </c>
      <c r="K814" s="2" t="s">
        <v>16</v>
      </c>
      <c r="L814" s="2">
        <v>10</v>
      </c>
      <c r="M814" t="str" cm="1">
        <f t="array" ref="M814">_xlfn.IFS(L814&lt;=14,"Short",L814&lt;=30,"Medium",L814&lt;=45,"Long",L814&lt;=60,"Very Long")</f>
        <v>Short</v>
      </c>
      <c r="N814" s="2" t="s">
        <v>30</v>
      </c>
      <c r="O814" s="3">
        <v>7.1</v>
      </c>
    </row>
    <row r="815" spans="1:15" x14ac:dyDescent="0.25">
      <c r="A815" s="4" t="s">
        <v>874</v>
      </c>
      <c r="B815" s="5">
        <v>59</v>
      </c>
      <c r="C815" t="str" cm="1">
        <f t="array" ref="C815">_xlfn.IFS(B815&lt;=30,"Young",B815&lt;=50,"Middle-aged",B815&gt;50,"Older")</f>
        <v>Older</v>
      </c>
      <c r="D815" s="5" t="s">
        <v>19</v>
      </c>
      <c r="E815" s="5" t="s">
        <v>15</v>
      </c>
      <c r="F815" s="5">
        <f t="shared" si="51"/>
        <v>1</v>
      </c>
      <c r="G815" s="5">
        <f t="shared" si="48"/>
        <v>0</v>
      </c>
      <c r="H815" s="5">
        <f t="shared" si="49"/>
        <v>0</v>
      </c>
      <c r="I815" s="5">
        <f t="shared" si="50"/>
        <v>0</v>
      </c>
      <c r="J815" s="5">
        <v>250</v>
      </c>
      <c r="K815" s="5" t="s">
        <v>16</v>
      </c>
      <c r="L815" s="5">
        <v>26</v>
      </c>
      <c r="M815" t="str" cm="1">
        <f t="array" ref="M815">_xlfn.IFS(L815&lt;=14,"Short",L815&lt;=30,"Medium",L815&lt;=45,"Long",L815&lt;=60,"Very Long")</f>
        <v>Medium</v>
      </c>
      <c r="N815" s="5" t="s">
        <v>308</v>
      </c>
      <c r="O815" s="6">
        <v>6.6</v>
      </c>
    </row>
    <row r="816" spans="1:15" x14ac:dyDescent="0.25">
      <c r="A816" s="1" t="s">
        <v>875</v>
      </c>
      <c r="B816" s="2">
        <v>75</v>
      </c>
      <c r="C816" t="str" cm="1">
        <f t="array" ref="C816">_xlfn.IFS(B816&lt;=30,"Young",B816&lt;=50,"Middle-aged",B816&gt;50,"Older")</f>
        <v>Older</v>
      </c>
      <c r="D816" s="2" t="s">
        <v>10</v>
      </c>
      <c r="E816" s="2" t="s">
        <v>15</v>
      </c>
      <c r="F816" s="2">
        <f t="shared" si="51"/>
        <v>1</v>
      </c>
      <c r="G816" s="2">
        <f t="shared" si="48"/>
        <v>0</v>
      </c>
      <c r="H816" s="2">
        <f t="shared" si="49"/>
        <v>0</v>
      </c>
      <c r="I816" s="2">
        <f t="shared" si="50"/>
        <v>0</v>
      </c>
      <c r="J816" s="2">
        <v>850</v>
      </c>
      <c r="K816" s="2" t="s">
        <v>44</v>
      </c>
      <c r="L816" s="2">
        <v>29</v>
      </c>
      <c r="M816" t="str" cm="1">
        <f t="array" ref="M816">_xlfn.IFS(L816&lt;=14,"Short",L816&lt;=30,"Medium",L816&lt;=45,"Long",L816&lt;=60,"Very Long")</f>
        <v>Medium</v>
      </c>
      <c r="N816" s="2" t="s">
        <v>95</v>
      </c>
      <c r="O816" s="3">
        <v>8</v>
      </c>
    </row>
    <row r="817" spans="1:15" x14ac:dyDescent="0.25">
      <c r="A817" s="4" t="s">
        <v>876</v>
      </c>
      <c r="B817" s="5">
        <v>56</v>
      </c>
      <c r="C817" t="str" cm="1">
        <f t="array" ref="C817">_xlfn.IFS(B817&lt;=30,"Young",B817&lt;=50,"Middle-aged",B817&gt;50,"Older")</f>
        <v>Older</v>
      </c>
      <c r="D817" s="5" t="s">
        <v>19</v>
      </c>
      <c r="E817" s="5" t="s">
        <v>20</v>
      </c>
      <c r="F817" s="5">
        <f t="shared" si="51"/>
        <v>0</v>
      </c>
      <c r="G817" s="5">
        <f t="shared" si="48"/>
        <v>1</v>
      </c>
      <c r="H817" s="5">
        <f t="shared" si="49"/>
        <v>0</v>
      </c>
      <c r="I817" s="5">
        <f t="shared" si="50"/>
        <v>0</v>
      </c>
      <c r="J817" s="5">
        <v>50</v>
      </c>
      <c r="K817" s="5" t="s">
        <v>37</v>
      </c>
      <c r="L817" s="5">
        <v>22</v>
      </c>
      <c r="M817" t="str" cm="1">
        <f t="array" ref="M817">_xlfn.IFS(L817&lt;=14,"Short",L817&lt;=30,"Medium",L817&lt;=45,"Long",L817&lt;=60,"Very Long")</f>
        <v>Medium</v>
      </c>
      <c r="N817" s="5" t="s">
        <v>13</v>
      </c>
      <c r="O817" s="6">
        <v>6.5</v>
      </c>
    </row>
    <row r="818" spans="1:15" x14ac:dyDescent="0.25">
      <c r="A818" s="1" t="s">
        <v>877</v>
      </c>
      <c r="B818" s="2">
        <v>31</v>
      </c>
      <c r="C818" t="str" cm="1">
        <f t="array" ref="C818">_xlfn.IFS(B818&lt;=30,"Young",B818&lt;=50,"Middle-aged",B818&gt;50,"Older")</f>
        <v>Middle-aged</v>
      </c>
      <c r="D818" s="2" t="s">
        <v>19</v>
      </c>
      <c r="E818" s="2" t="s">
        <v>20</v>
      </c>
      <c r="F818" s="2">
        <f t="shared" si="51"/>
        <v>0</v>
      </c>
      <c r="G818" s="2">
        <f t="shared" si="48"/>
        <v>1</v>
      </c>
      <c r="H818" s="2">
        <f t="shared" si="49"/>
        <v>0</v>
      </c>
      <c r="I818" s="2">
        <f t="shared" si="50"/>
        <v>0</v>
      </c>
      <c r="J818" s="2">
        <v>100</v>
      </c>
      <c r="K818" s="2" t="s">
        <v>37</v>
      </c>
      <c r="L818" s="2">
        <v>21</v>
      </c>
      <c r="M818" t="str" cm="1">
        <f t="array" ref="M818">_xlfn.IFS(L818&lt;=14,"Short",L818&lt;=30,"Medium",L818&lt;=45,"Long",L818&lt;=60,"Very Long")</f>
        <v>Medium</v>
      </c>
      <c r="N818" s="2" t="s">
        <v>88</v>
      </c>
      <c r="O818" s="3">
        <v>6.5</v>
      </c>
    </row>
    <row r="819" spans="1:15" x14ac:dyDescent="0.25">
      <c r="A819" s="4" t="s">
        <v>878</v>
      </c>
      <c r="B819" s="5">
        <v>48</v>
      </c>
      <c r="C819" t="str" cm="1">
        <f t="array" ref="C819">_xlfn.IFS(B819&lt;=30,"Young",B819&lt;=50,"Middle-aged",B819&gt;50,"Older")</f>
        <v>Middle-aged</v>
      </c>
      <c r="D819" s="5" t="s">
        <v>10</v>
      </c>
      <c r="E819" s="5" t="s">
        <v>33</v>
      </c>
      <c r="F819" s="5">
        <f t="shared" si="51"/>
        <v>0</v>
      </c>
      <c r="G819" s="5">
        <f t="shared" si="48"/>
        <v>0</v>
      </c>
      <c r="H819" s="5">
        <f t="shared" si="49"/>
        <v>0</v>
      </c>
      <c r="I819" s="5">
        <f t="shared" si="50"/>
        <v>1</v>
      </c>
      <c r="J819" s="5">
        <v>850</v>
      </c>
      <c r="K819" s="5" t="s">
        <v>49</v>
      </c>
      <c r="L819" s="5">
        <v>16</v>
      </c>
      <c r="M819" t="str" cm="1">
        <f t="array" ref="M819">_xlfn.IFS(L819&lt;=14,"Short",L819&lt;=30,"Medium",L819&lt;=45,"Long",L819&lt;=60,"Very Long")</f>
        <v>Medium</v>
      </c>
      <c r="N819" s="5" t="s">
        <v>30</v>
      </c>
      <c r="O819" s="6">
        <v>8.1</v>
      </c>
    </row>
    <row r="820" spans="1:15" x14ac:dyDescent="0.25">
      <c r="A820" s="1" t="s">
        <v>879</v>
      </c>
      <c r="B820" s="2">
        <v>75</v>
      </c>
      <c r="C820" t="str" cm="1">
        <f t="array" ref="C820">_xlfn.IFS(B820&lt;=30,"Young",B820&lt;=50,"Middle-aged",B820&gt;50,"Older")</f>
        <v>Older</v>
      </c>
      <c r="D820" s="2" t="s">
        <v>10</v>
      </c>
      <c r="E820" s="2" t="s">
        <v>24</v>
      </c>
      <c r="F820" s="2">
        <f t="shared" si="51"/>
        <v>0</v>
      </c>
      <c r="G820" s="2">
        <f t="shared" si="48"/>
        <v>0</v>
      </c>
      <c r="H820" s="2">
        <f t="shared" si="49"/>
        <v>1</v>
      </c>
      <c r="I820" s="2">
        <f t="shared" si="50"/>
        <v>0</v>
      </c>
      <c r="J820" s="2">
        <v>500</v>
      </c>
      <c r="K820" s="2" t="s">
        <v>39</v>
      </c>
      <c r="L820" s="2">
        <v>10</v>
      </c>
      <c r="M820" t="str" cm="1">
        <f t="array" ref="M820">_xlfn.IFS(L820&lt;=14,"Short",L820&lt;=30,"Medium",L820&lt;=45,"Long",L820&lt;=60,"Very Long")</f>
        <v>Short</v>
      </c>
      <c r="N820" s="2" t="s">
        <v>85</v>
      </c>
      <c r="O820" s="3">
        <v>7.5</v>
      </c>
    </row>
    <row r="821" spans="1:15" x14ac:dyDescent="0.25">
      <c r="A821" s="4" t="s">
        <v>880</v>
      </c>
      <c r="B821" s="5">
        <v>22</v>
      </c>
      <c r="C821" t="str" cm="1">
        <f t="array" ref="C821">_xlfn.IFS(B821&lt;=30,"Young",B821&lt;=50,"Middle-aged",B821&gt;50,"Older")</f>
        <v>Young</v>
      </c>
      <c r="D821" s="5" t="s">
        <v>10</v>
      </c>
      <c r="E821" s="5" t="s">
        <v>33</v>
      </c>
      <c r="F821" s="5">
        <f t="shared" si="51"/>
        <v>0</v>
      </c>
      <c r="G821" s="5">
        <f t="shared" si="48"/>
        <v>0</v>
      </c>
      <c r="H821" s="5">
        <f t="shared" si="49"/>
        <v>0</v>
      </c>
      <c r="I821" s="5">
        <f t="shared" si="50"/>
        <v>1</v>
      </c>
      <c r="J821" s="5">
        <v>100</v>
      </c>
      <c r="K821" s="5" t="s">
        <v>47</v>
      </c>
      <c r="L821" s="5">
        <v>30</v>
      </c>
      <c r="M821" t="str" cm="1">
        <f t="array" ref="M821">_xlfn.IFS(L821&lt;=14,"Short",L821&lt;=30,"Medium",L821&lt;=45,"Long",L821&lt;=60,"Very Long")</f>
        <v>Medium</v>
      </c>
      <c r="N821" s="5" t="s">
        <v>345</v>
      </c>
      <c r="O821" s="6">
        <v>7.5</v>
      </c>
    </row>
    <row r="822" spans="1:15" x14ac:dyDescent="0.25">
      <c r="A822" s="1" t="s">
        <v>881</v>
      </c>
      <c r="B822" s="2">
        <v>52</v>
      </c>
      <c r="C822" t="str" cm="1">
        <f t="array" ref="C822">_xlfn.IFS(B822&lt;=30,"Young",B822&lt;=50,"Middle-aged",B822&gt;50,"Older")</f>
        <v>Older</v>
      </c>
      <c r="D822" s="2" t="s">
        <v>10</v>
      </c>
      <c r="E822" s="2" t="s">
        <v>24</v>
      </c>
      <c r="F822" s="2">
        <f t="shared" si="51"/>
        <v>0</v>
      </c>
      <c r="G822" s="2">
        <f t="shared" si="48"/>
        <v>0</v>
      </c>
      <c r="H822" s="2">
        <f t="shared" si="49"/>
        <v>1</v>
      </c>
      <c r="I822" s="2">
        <f t="shared" si="50"/>
        <v>0</v>
      </c>
      <c r="J822" s="2">
        <v>850</v>
      </c>
      <c r="K822" s="2" t="s">
        <v>25</v>
      </c>
      <c r="L822" s="2">
        <v>31</v>
      </c>
      <c r="M822" t="str" cm="1">
        <f t="array" ref="M822">_xlfn.IFS(L822&lt;=14,"Short",L822&lt;=30,"Medium",L822&lt;=45,"Long",L822&lt;=60,"Very Long")</f>
        <v>Long</v>
      </c>
      <c r="N822" s="2" t="s">
        <v>26</v>
      </c>
      <c r="O822" s="3">
        <v>7.7</v>
      </c>
    </row>
    <row r="823" spans="1:15" x14ac:dyDescent="0.25">
      <c r="A823" s="4" t="s">
        <v>882</v>
      </c>
      <c r="B823" s="5">
        <v>40</v>
      </c>
      <c r="C823" t="str" cm="1">
        <f t="array" ref="C823">_xlfn.IFS(B823&lt;=30,"Young",B823&lt;=50,"Middle-aged",B823&gt;50,"Older")</f>
        <v>Middle-aged</v>
      </c>
      <c r="D823" s="5" t="s">
        <v>19</v>
      </c>
      <c r="E823" s="5" t="s">
        <v>20</v>
      </c>
      <c r="F823" s="5">
        <f t="shared" si="51"/>
        <v>0</v>
      </c>
      <c r="G823" s="5">
        <f t="shared" si="48"/>
        <v>1</v>
      </c>
      <c r="H823" s="5">
        <f t="shared" si="49"/>
        <v>0</v>
      </c>
      <c r="I823" s="5">
        <f t="shared" si="50"/>
        <v>0</v>
      </c>
      <c r="J823" s="5">
        <v>250</v>
      </c>
      <c r="K823" s="5" t="s">
        <v>55</v>
      </c>
      <c r="L823" s="5">
        <v>12</v>
      </c>
      <c r="M823" t="str" cm="1">
        <f t="array" ref="M823">_xlfn.IFS(L823&lt;=14,"Short",L823&lt;=30,"Medium",L823&lt;=45,"Long",L823&lt;=60,"Very Long")</f>
        <v>Short</v>
      </c>
      <c r="N823" s="5" t="s">
        <v>148</v>
      </c>
      <c r="O823" s="6">
        <v>4.7</v>
      </c>
    </row>
    <row r="824" spans="1:15" x14ac:dyDescent="0.25">
      <c r="A824" s="1" t="s">
        <v>883</v>
      </c>
      <c r="B824" s="2">
        <v>46</v>
      </c>
      <c r="C824" t="str" cm="1">
        <f t="array" ref="C824">_xlfn.IFS(B824&lt;=30,"Young",B824&lt;=50,"Middle-aged",B824&gt;50,"Older")</f>
        <v>Middle-aged</v>
      </c>
      <c r="D824" s="2" t="s">
        <v>19</v>
      </c>
      <c r="E824" s="2" t="s">
        <v>20</v>
      </c>
      <c r="F824" s="2">
        <f t="shared" si="51"/>
        <v>0</v>
      </c>
      <c r="G824" s="2">
        <f t="shared" si="48"/>
        <v>1</v>
      </c>
      <c r="H824" s="2">
        <f t="shared" si="49"/>
        <v>0</v>
      </c>
      <c r="I824" s="2">
        <f t="shared" si="50"/>
        <v>0</v>
      </c>
      <c r="J824" s="2">
        <v>100</v>
      </c>
      <c r="K824" s="2" t="s">
        <v>21</v>
      </c>
      <c r="L824" s="2">
        <v>23</v>
      </c>
      <c r="M824" t="str" cm="1">
        <f t="array" ref="M824">_xlfn.IFS(L824&lt;=14,"Short",L824&lt;=30,"Medium",L824&lt;=45,"Long",L824&lt;=60,"Very Long")</f>
        <v>Medium</v>
      </c>
      <c r="N824" s="2" t="s">
        <v>22</v>
      </c>
      <c r="O824" s="3">
        <v>8.1</v>
      </c>
    </row>
    <row r="825" spans="1:15" x14ac:dyDescent="0.25">
      <c r="A825" s="4" t="s">
        <v>884</v>
      </c>
      <c r="B825" s="5">
        <v>60</v>
      </c>
      <c r="C825" t="str" cm="1">
        <f t="array" ref="C825">_xlfn.IFS(B825&lt;=30,"Young",B825&lt;=50,"Middle-aged",B825&gt;50,"Older")</f>
        <v>Older</v>
      </c>
      <c r="D825" s="5" t="s">
        <v>10</v>
      </c>
      <c r="E825" s="5" t="s">
        <v>33</v>
      </c>
      <c r="F825" s="5">
        <f t="shared" si="51"/>
        <v>0</v>
      </c>
      <c r="G825" s="5">
        <f t="shared" si="48"/>
        <v>0</v>
      </c>
      <c r="H825" s="5">
        <f t="shared" si="49"/>
        <v>0</v>
      </c>
      <c r="I825" s="5">
        <f t="shared" si="50"/>
        <v>1</v>
      </c>
      <c r="J825" s="5">
        <v>500</v>
      </c>
      <c r="K825" s="5" t="s">
        <v>47</v>
      </c>
      <c r="L825" s="5">
        <v>46</v>
      </c>
      <c r="M825" t="str" cm="1">
        <f t="array" ref="M825">_xlfn.IFS(L825&lt;=14,"Short",L825&lt;=30,"Medium",L825&lt;=45,"Long",L825&lt;=60,"Very Long")</f>
        <v>Very Long</v>
      </c>
      <c r="N825" s="5" t="s">
        <v>345</v>
      </c>
      <c r="O825" s="6">
        <v>7.9</v>
      </c>
    </row>
    <row r="826" spans="1:15" x14ac:dyDescent="0.25">
      <c r="A826" s="1" t="s">
        <v>885</v>
      </c>
      <c r="B826" s="2">
        <v>28</v>
      </c>
      <c r="C826" t="str" cm="1">
        <f t="array" ref="C826">_xlfn.IFS(B826&lt;=30,"Young",B826&lt;=50,"Middle-aged",B826&gt;50,"Older")</f>
        <v>Young</v>
      </c>
      <c r="D826" s="2" t="s">
        <v>19</v>
      </c>
      <c r="E826" s="2" t="s">
        <v>11</v>
      </c>
      <c r="F826" s="2">
        <f t="shared" si="51"/>
        <v>0</v>
      </c>
      <c r="G826" s="2">
        <f t="shared" si="48"/>
        <v>0</v>
      </c>
      <c r="H826" s="2">
        <f t="shared" si="49"/>
        <v>0</v>
      </c>
      <c r="I826" s="2">
        <f t="shared" si="50"/>
        <v>0</v>
      </c>
      <c r="J826" s="2">
        <v>100</v>
      </c>
      <c r="K826" s="2" t="s">
        <v>12</v>
      </c>
      <c r="L826" s="2">
        <v>5</v>
      </c>
      <c r="M826" t="str" cm="1">
        <f t="array" ref="M826">_xlfn.IFS(L826&lt;=14,"Short",L826&lt;=30,"Medium",L826&lt;=45,"Long",L826&lt;=60,"Very Long")</f>
        <v>Short</v>
      </c>
      <c r="N826" s="2" t="s">
        <v>13</v>
      </c>
      <c r="O826" s="3">
        <v>5.5</v>
      </c>
    </row>
    <row r="827" spans="1:15" x14ac:dyDescent="0.25">
      <c r="A827" s="4" t="s">
        <v>886</v>
      </c>
      <c r="B827" s="5">
        <v>35</v>
      </c>
      <c r="C827" t="str" cm="1">
        <f t="array" ref="C827">_xlfn.IFS(B827&lt;=30,"Young",B827&lt;=50,"Middle-aged",B827&gt;50,"Older")</f>
        <v>Middle-aged</v>
      </c>
      <c r="D827" s="5" t="s">
        <v>19</v>
      </c>
      <c r="E827" s="5" t="s">
        <v>33</v>
      </c>
      <c r="F827" s="5">
        <f t="shared" si="51"/>
        <v>0</v>
      </c>
      <c r="G827" s="5">
        <f t="shared" si="48"/>
        <v>0</v>
      </c>
      <c r="H827" s="5">
        <f t="shared" si="49"/>
        <v>0</v>
      </c>
      <c r="I827" s="5">
        <f t="shared" si="50"/>
        <v>1</v>
      </c>
      <c r="J827" s="5">
        <v>250</v>
      </c>
      <c r="K827" s="5" t="s">
        <v>34</v>
      </c>
      <c r="L827" s="5">
        <v>33</v>
      </c>
      <c r="M827" t="str" cm="1">
        <f t="array" ref="M827">_xlfn.IFS(L827&lt;=14,"Short",L827&lt;=30,"Medium",L827&lt;=45,"Long",L827&lt;=60,"Very Long")</f>
        <v>Long</v>
      </c>
      <c r="N827" s="5" t="s">
        <v>95</v>
      </c>
      <c r="O827" s="6">
        <v>6.6</v>
      </c>
    </row>
    <row r="828" spans="1:15" x14ac:dyDescent="0.25">
      <c r="A828" s="1" t="s">
        <v>887</v>
      </c>
      <c r="B828" s="2">
        <v>64</v>
      </c>
      <c r="C828" t="str" cm="1">
        <f t="array" ref="C828">_xlfn.IFS(B828&lt;=30,"Young",B828&lt;=50,"Middle-aged",B828&gt;50,"Older")</f>
        <v>Older</v>
      </c>
      <c r="D828" s="2" t="s">
        <v>19</v>
      </c>
      <c r="E828" s="2" t="s">
        <v>24</v>
      </c>
      <c r="F828" s="2">
        <f t="shared" si="51"/>
        <v>0</v>
      </c>
      <c r="G828" s="2">
        <f t="shared" si="48"/>
        <v>0</v>
      </c>
      <c r="H828" s="2">
        <f t="shared" si="49"/>
        <v>1</v>
      </c>
      <c r="I828" s="2">
        <f t="shared" si="50"/>
        <v>0</v>
      </c>
      <c r="J828" s="2">
        <v>250</v>
      </c>
      <c r="K828" s="2" t="s">
        <v>25</v>
      </c>
      <c r="L828" s="2">
        <v>49</v>
      </c>
      <c r="M828" t="str" cm="1">
        <f t="array" ref="M828">_xlfn.IFS(L828&lt;=14,"Short",L828&lt;=30,"Medium",L828&lt;=45,"Long",L828&lt;=60,"Very Long")</f>
        <v>Very Long</v>
      </c>
      <c r="N828" s="2" t="s">
        <v>70</v>
      </c>
      <c r="O828" s="3">
        <v>6.9</v>
      </c>
    </row>
    <row r="829" spans="1:15" x14ac:dyDescent="0.25">
      <c r="A829" s="4" t="s">
        <v>888</v>
      </c>
      <c r="B829" s="5">
        <v>29</v>
      </c>
      <c r="C829" t="str" cm="1">
        <f t="array" ref="C829">_xlfn.IFS(B829&lt;=30,"Young",B829&lt;=50,"Middle-aged",B829&gt;50,"Older")</f>
        <v>Young</v>
      </c>
      <c r="D829" s="5" t="s">
        <v>19</v>
      </c>
      <c r="E829" s="5" t="s">
        <v>33</v>
      </c>
      <c r="F829" s="5">
        <f t="shared" si="51"/>
        <v>0</v>
      </c>
      <c r="G829" s="5">
        <f t="shared" si="48"/>
        <v>0</v>
      </c>
      <c r="H829" s="5">
        <f t="shared" si="49"/>
        <v>0</v>
      </c>
      <c r="I829" s="5">
        <f t="shared" si="50"/>
        <v>1</v>
      </c>
      <c r="J829" s="5">
        <v>250</v>
      </c>
      <c r="K829" s="5" t="s">
        <v>34</v>
      </c>
      <c r="L829" s="5">
        <v>53</v>
      </c>
      <c r="M829" t="str" cm="1">
        <f t="array" ref="M829">_xlfn.IFS(L829&lt;=14,"Short",L829&lt;=30,"Medium",L829&lt;=45,"Long",L829&lt;=60,"Very Long")</f>
        <v>Very Long</v>
      </c>
      <c r="N829" s="5" t="s">
        <v>95</v>
      </c>
      <c r="O829" s="6">
        <v>6.8</v>
      </c>
    </row>
    <row r="830" spans="1:15" x14ac:dyDescent="0.25">
      <c r="A830" s="1" t="s">
        <v>889</v>
      </c>
      <c r="B830" s="2">
        <v>26</v>
      </c>
      <c r="C830" t="str" cm="1">
        <f t="array" ref="C830">_xlfn.IFS(B830&lt;=30,"Young",B830&lt;=50,"Middle-aged",B830&gt;50,"Older")</f>
        <v>Young</v>
      </c>
      <c r="D830" s="2" t="s">
        <v>10</v>
      </c>
      <c r="E830" s="2" t="s">
        <v>15</v>
      </c>
      <c r="F830" s="2">
        <f t="shared" si="51"/>
        <v>1</v>
      </c>
      <c r="G830" s="2">
        <f t="shared" si="48"/>
        <v>0</v>
      </c>
      <c r="H830" s="2">
        <f t="shared" si="49"/>
        <v>0</v>
      </c>
      <c r="I830" s="2">
        <f t="shared" si="50"/>
        <v>0</v>
      </c>
      <c r="J830" s="2">
        <v>50</v>
      </c>
      <c r="K830" s="2" t="s">
        <v>63</v>
      </c>
      <c r="L830" s="2">
        <v>39</v>
      </c>
      <c r="M830" t="str" cm="1">
        <f t="array" ref="M830">_xlfn.IFS(L830&lt;=14,"Short",L830&lt;=30,"Medium",L830&lt;=45,"Long",L830&lt;=60,"Very Long")</f>
        <v>Long</v>
      </c>
      <c r="N830" s="2" t="s">
        <v>64</v>
      </c>
      <c r="O830" s="3">
        <v>7.5</v>
      </c>
    </row>
    <row r="831" spans="1:15" x14ac:dyDescent="0.25">
      <c r="A831" s="4" t="s">
        <v>890</v>
      </c>
      <c r="B831" s="5">
        <v>27</v>
      </c>
      <c r="C831" t="str" cm="1">
        <f t="array" ref="C831">_xlfn.IFS(B831&lt;=30,"Young",B831&lt;=50,"Middle-aged",B831&gt;50,"Older")</f>
        <v>Young</v>
      </c>
      <c r="D831" s="5" t="s">
        <v>10</v>
      </c>
      <c r="E831" s="5" t="s">
        <v>24</v>
      </c>
      <c r="F831" s="5">
        <f t="shared" si="51"/>
        <v>0</v>
      </c>
      <c r="G831" s="5">
        <f t="shared" si="48"/>
        <v>0</v>
      </c>
      <c r="H831" s="5">
        <f t="shared" si="49"/>
        <v>1</v>
      </c>
      <c r="I831" s="5">
        <f t="shared" si="50"/>
        <v>0</v>
      </c>
      <c r="J831" s="5">
        <v>100</v>
      </c>
      <c r="K831" s="5" t="s">
        <v>39</v>
      </c>
      <c r="L831" s="5">
        <v>44</v>
      </c>
      <c r="M831" t="str" cm="1">
        <f t="array" ref="M831">_xlfn.IFS(L831&lt;=14,"Short",L831&lt;=30,"Medium",L831&lt;=45,"Long",L831&lt;=60,"Very Long")</f>
        <v>Long</v>
      </c>
      <c r="N831" s="5" t="s">
        <v>85</v>
      </c>
      <c r="O831" s="6">
        <v>9.1</v>
      </c>
    </row>
    <row r="832" spans="1:15" x14ac:dyDescent="0.25">
      <c r="A832" s="1" t="s">
        <v>891</v>
      </c>
      <c r="B832" s="2">
        <v>75</v>
      </c>
      <c r="C832" t="str" cm="1">
        <f t="array" ref="C832">_xlfn.IFS(B832&lt;=30,"Young",B832&lt;=50,"Middle-aged",B832&gt;50,"Older")</f>
        <v>Older</v>
      </c>
      <c r="D832" s="2" t="s">
        <v>19</v>
      </c>
      <c r="E832" s="2" t="s">
        <v>24</v>
      </c>
      <c r="F832" s="2">
        <f t="shared" si="51"/>
        <v>0</v>
      </c>
      <c r="G832" s="2">
        <f t="shared" si="48"/>
        <v>0</v>
      </c>
      <c r="H832" s="2">
        <f t="shared" si="49"/>
        <v>1</v>
      </c>
      <c r="I832" s="2">
        <f t="shared" si="50"/>
        <v>0</v>
      </c>
      <c r="J832" s="2">
        <v>100</v>
      </c>
      <c r="K832" s="2" t="s">
        <v>39</v>
      </c>
      <c r="L832" s="2">
        <v>18</v>
      </c>
      <c r="M832" t="str" cm="1">
        <f t="array" ref="M832">_xlfn.IFS(L832&lt;=14,"Short",L832&lt;=30,"Medium",L832&lt;=45,"Long",L832&lt;=60,"Very Long")</f>
        <v>Medium</v>
      </c>
      <c r="N832" s="2" t="s">
        <v>13</v>
      </c>
      <c r="O832" s="3">
        <v>8.6</v>
      </c>
    </row>
    <row r="833" spans="1:15" x14ac:dyDescent="0.25">
      <c r="A833" s="4" t="s">
        <v>892</v>
      </c>
      <c r="B833" s="5">
        <v>61</v>
      </c>
      <c r="C833" t="str" cm="1">
        <f t="array" ref="C833">_xlfn.IFS(B833&lt;=30,"Young",B833&lt;=50,"Middle-aged",B833&gt;50,"Older")</f>
        <v>Older</v>
      </c>
      <c r="D833" s="5" t="s">
        <v>10</v>
      </c>
      <c r="E833" s="5" t="s">
        <v>11</v>
      </c>
      <c r="F833" s="5">
        <f t="shared" si="51"/>
        <v>0</v>
      </c>
      <c r="G833" s="5">
        <f t="shared" si="48"/>
        <v>0</v>
      </c>
      <c r="H833" s="5">
        <f t="shared" si="49"/>
        <v>0</v>
      </c>
      <c r="I833" s="5">
        <f t="shared" si="50"/>
        <v>0</v>
      </c>
      <c r="J833" s="5">
        <v>50</v>
      </c>
      <c r="K833" s="5" t="s">
        <v>51</v>
      </c>
      <c r="L833" s="5">
        <v>39</v>
      </c>
      <c r="M833" t="str" cm="1">
        <f t="array" ref="M833">_xlfn.IFS(L833&lt;=14,"Short",L833&lt;=30,"Medium",L833&lt;=45,"Long",L833&lt;=60,"Very Long")</f>
        <v>Long</v>
      </c>
      <c r="N833" s="5" t="s">
        <v>41</v>
      </c>
      <c r="O833" s="6">
        <v>5</v>
      </c>
    </row>
    <row r="834" spans="1:15" x14ac:dyDescent="0.25">
      <c r="A834" s="1" t="s">
        <v>893</v>
      </c>
      <c r="B834" s="2">
        <v>34</v>
      </c>
      <c r="C834" t="str" cm="1">
        <f t="array" ref="C834">_xlfn.IFS(B834&lt;=30,"Young",B834&lt;=50,"Middle-aged",B834&gt;50,"Older")</f>
        <v>Middle-aged</v>
      </c>
      <c r="D834" s="2" t="s">
        <v>10</v>
      </c>
      <c r="E834" s="2" t="s">
        <v>20</v>
      </c>
      <c r="F834" s="2">
        <f t="shared" si="51"/>
        <v>0</v>
      </c>
      <c r="G834" s="2">
        <f t="shared" ref="G834:G897" si="52">IF($E834="Depression",1,0)</f>
        <v>1</v>
      </c>
      <c r="H834" s="2">
        <f t="shared" ref="H834:H897" si="53">IF($E834="Diabetes",1,0)</f>
        <v>0</v>
      </c>
      <c r="I834" s="2">
        <f t="shared" ref="I834:I897" si="54">IF($E834="Pain relief",1,0)</f>
        <v>0</v>
      </c>
      <c r="J834" s="2">
        <v>250</v>
      </c>
      <c r="K834" s="2" t="s">
        <v>21</v>
      </c>
      <c r="L834" s="2">
        <v>52</v>
      </c>
      <c r="M834" t="str" cm="1">
        <f t="array" ref="M834">_xlfn.IFS(L834&lt;=14,"Short",L834&lt;=30,"Medium",L834&lt;=45,"Long",L834&lt;=60,"Very Long")</f>
        <v>Very Long</v>
      </c>
      <c r="N834" s="2" t="s">
        <v>41</v>
      </c>
      <c r="O834" s="3">
        <v>7.9</v>
      </c>
    </row>
    <row r="835" spans="1:15" x14ac:dyDescent="0.25">
      <c r="A835" s="4" t="s">
        <v>894</v>
      </c>
      <c r="B835" s="5">
        <v>78</v>
      </c>
      <c r="C835" t="str" cm="1">
        <f t="array" ref="C835">_xlfn.IFS(B835&lt;=30,"Young",B835&lt;=50,"Middle-aged",B835&gt;50,"Older")</f>
        <v>Older</v>
      </c>
      <c r="D835" s="5" t="s">
        <v>10</v>
      </c>
      <c r="E835" s="5" t="s">
        <v>24</v>
      </c>
      <c r="F835" s="5">
        <f t="shared" ref="F835:F898" si="55">IF($E835="Hypertension",1,0)</f>
        <v>0</v>
      </c>
      <c r="G835" s="5">
        <f t="shared" si="52"/>
        <v>0</v>
      </c>
      <c r="H835" s="5">
        <f t="shared" si="53"/>
        <v>1</v>
      </c>
      <c r="I835" s="5">
        <f t="shared" si="54"/>
        <v>0</v>
      </c>
      <c r="J835" s="5">
        <v>500</v>
      </c>
      <c r="K835" s="5" t="s">
        <v>59</v>
      </c>
      <c r="L835" s="5">
        <v>49</v>
      </c>
      <c r="M835" t="str" cm="1">
        <f t="array" ref="M835">_xlfn.IFS(L835&lt;=14,"Short",L835&lt;=30,"Medium",L835&lt;=45,"Long",L835&lt;=60,"Very Long")</f>
        <v>Very Long</v>
      </c>
      <c r="N835" s="5" t="s">
        <v>60</v>
      </c>
      <c r="O835" s="6">
        <v>9</v>
      </c>
    </row>
    <row r="836" spans="1:15" x14ac:dyDescent="0.25">
      <c r="A836" s="1" t="s">
        <v>895</v>
      </c>
      <c r="B836" s="2">
        <v>55</v>
      </c>
      <c r="C836" t="str" cm="1">
        <f t="array" ref="C836">_xlfn.IFS(B836&lt;=30,"Young",B836&lt;=50,"Middle-aged",B836&gt;50,"Older")</f>
        <v>Older</v>
      </c>
      <c r="D836" s="2" t="s">
        <v>19</v>
      </c>
      <c r="E836" s="2" t="s">
        <v>20</v>
      </c>
      <c r="F836" s="2">
        <f t="shared" si="55"/>
        <v>0</v>
      </c>
      <c r="G836" s="2">
        <f t="shared" si="52"/>
        <v>1</v>
      </c>
      <c r="H836" s="2">
        <f t="shared" si="53"/>
        <v>0</v>
      </c>
      <c r="I836" s="2">
        <f t="shared" si="54"/>
        <v>0</v>
      </c>
      <c r="J836" s="2">
        <v>850</v>
      </c>
      <c r="K836" s="2" t="s">
        <v>55</v>
      </c>
      <c r="L836" s="2">
        <v>24</v>
      </c>
      <c r="M836" t="str" cm="1">
        <f t="array" ref="M836">_xlfn.IFS(L836&lt;=14,"Short",L836&lt;=30,"Medium",L836&lt;=45,"Long",L836&lt;=60,"Very Long")</f>
        <v>Medium</v>
      </c>
      <c r="N836" s="2" t="s">
        <v>78</v>
      </c>
      <c r="O836" s="3">
        <v>7.6</v>
      </c>
    </row>
    <row r="837" spans="1:15" x14ac:dyDescent="0.25">
      <c r="A837" s="4" t="s">
        <v>896</v>
      </c>
      <c r="B837" s="5">
        <v>24</v>
      </c>
      <c r="C837" t="str" cm="1">
        <f t="array" ref="C837">_xlfn.IFS(B837&lt;=30,"Young",B837&lt;=50,"Middle-aged",B837&gt;50,"Older")</f>
        <v>Young</v>
      </c>
      <c r="D837" s="5" t="s">
        <v>19</v>
      </c>
      <c r="E837" s="5" t="s">
        <v>33</v>
      </c>
      <c r="F837" s="5">
        <f t="shared" si="55"/>
        <v>0</v>
      </c>
      <c r="G837" s="5">
        <f t="shared" si="52"/>
        <v>0</v>
      </c>
      <c r="H837" s="5">
        <f t="shared" si="53"/>
        <v>0</v>
      </c>
      <c r="I837" s="5">
        <f t="shared" si="54"/>
        <v>1</v>
      </c>
      <c r="J837" s="5">
        <v>100</v>
      </c>
      <c r="K837" s="5" t="s">
        <v>49</v>
      </c>
      <c r="L837" s="5">
        <v>53</v>
      </c>
      <c r="M837" t="str" cm="1">
        <f t="array" ref="M837">_xlfn.IFS(L837&lt;=14,"Short",L837&lt;=30,"Medium",L837&lt;=45,"Long",L837&lt;=60,"Very Long")</f>
        <v>Very Long</v>
      </c>
      <c r="N837" s="5" t="s">
        <v>13</v>
      </c>
      <c r="O837" s="6">
        <v>8.6</v>
      </c>
    </row>
    <row r="838" spans="1:15" x14ac:dyDescent="0.25">
      <c r="A838" s="1" t="s">
        <v>897</v>
      </c>
      <c r="B838" s="2">
        <v>63</v>
      </c>
      <c r="C838" t="str" cm="1">
        <f t="array" ref="C838">_xlfn.IFS(B838&lt;=30,"Young",B838&lt;=50,"Middle-aged",B838&gt;50,"Older")</f>
        <v>Older</v>
      </c>
      <c r="D838" s="2" t="s">
        <v>19</v>
      </c>
      <c r="E838" s="2" t="s">
        <v>15</v>
      </c>
      <c r="F838" s="2">
        <f t="shared" si="55"/>
        <v>1</v>
      </c>
      <c r="G838" s="2">
        <f t="shared" si="52"/>
        <v>0</v>
      </c>
      <c r="H838" s="2">
        <f t="shared" si="53"/>
        <v>0</v>
      </c>
      <c r="I838" s="2">
        <f t="shared" si="54"/>
        <v>0</v>
      </c>
      <c r="J838" s="2">
        <v>50</v>
      </c>
      <c r="K838" s="2" t="s">
        <v>44</v>
      </c>
      <c r="L838" s="2">
        <v>17</v>
      </c>
      <c r="M838" t="str" cm="1">
        <f t="array" ref="M838">_xlfn.IFS(L838&lt;=14,"Short",L838&lt;=30,"Medium",L838&lt;=45,"Long",L838&lt;=60,"Very Long")</f>
        <v>Medium</v>
      </c>
      <c r="N838" s="2" t="s">
        <v>30</v>
      </c>
      <c r="O838" s="3">
        <v>10</v>
      </c>
    </row>
    <row r="839" spans="1:15" x14ac:dyDescent="0.25">
      <c r="A839" s="4" t="s">
        <v>898</v>
      </c>
      <c r="B839" s="5">
        <v>30</v>
      </c>
      <c r="C839" t="str" cm="1">
        <f t="array" ref="C839">_xlfn.IFS(B839&lt;=30,"Young",B839&lt;=50,"Middle-aged",B839&gt;50,"Older")</f>
        <v>Young</v>
      </c>
      <c r="D839" s="5" t="s">
        <v>10</v>
      </c>
      <c r="E839" s="5" t="s">
        <v>11</v>
      </c>
      <c r="F839" s="5">
        <f t="shared" si="55"/>
        <v>0</v>
      </c>
      <c r="G839" s="5">
        <f t="shared" si="52"/>
        <v>0</v>
      </c>
      <c r="H839" s="5">
        <f t="shared" si="53"/>
        <v>0</v>
      </c>
      <c r="I839" s="5">
        <f t="shared" si="54"/>
        <v>0</v>
      </c>
      <c r="J839" s="5">
        <v>50</v>
      </c>
      <c r="K839" s="5" t="s">
        <v>84</v>
      </c>
      <c r="L839" s="5">
        <v>42</v>
      </c>
      <c r="M839" t="str" cm="1">
        <f t="array" ref="M839">_xlfn.IFS(L839&lt;=14,"Short",L839&lt;=30,"Medium",L839&lt;=45,"Long",L839&lt;=60,"Very Long")</f>
        <v>Long</v>
      </c>
      <c r="N839" s="5" t="s">
        <v>93</v>
      </c>
      <c r="O839" s="6">
        <v>8.5</v>
      </c>
    </row>
    <row r="840" spans="1:15" x14ac:dyDescent="0.25">
      <c r="A840" s="1" t="s">
        <v>899</v>
      </c>
      <c r="B840" s="2">
        <v>57</v>
      </c>
      <c r="C840" t="str" cm="1">
        <f t="array" ref="C840">_xlfn.IFS(B840&lt;=30,"Young",B840&lt;=50,"Middle-aged",B840&gt;50,"Older")</f>
        <v>Older</v>
      </c>
      <c r="D840" s="2" t="s">
        <v>19</v>
      </c>
      <c r="E840" s="2" t="s">
        <v>20</v>
      </c>
      <c r="F840" s="2">
        <f t="shared" si="55"/>
        <v>0</v>
      </c>
      <c r="G840" s="2">
        <f t="shared" si="52"/>
        <v>1</v>
      </c>
      <c r="H840" s="2">
        <f t="shared" si="53"/>
        <v>0</v>
      </c>
      <c r="I840" s="2">
        <f t="shared" si="54"/>
        <v>0</v>
      </c>
      <c r="J840" s="2">
        <v>50</v>
      </c>
      <c r="K840" s="2" t="s">
        <v>55</v>
      </c>
      <c r="L840" s="2">
        <v>53</v>
      </c>
      <c r="M840" t="str" cm="1">
        <f t="array" ref="M840">_xlfn.IFS(L840&lt;=14,"Short",L840&lt;=30,"Medium",L840&lt;=45,"Long",L840&lt;=60,"Very Long")</f>
        <v>Very Long</v>
      </c>
      <c r="N840" s="2" t="s">
        <v>78</v>
      </c>
      <c r="O840" s="3">
        <v>7.4</v>
      </c>
    </row>
    <row r="841" spans="1:15" x14ac:dyDescent="0.25">
      <c r="A841" s="4" t="s">
        <v>900</v>
      </c>
      <c r="B841" s="5">
        <v>59</v>
      </c>
      <c r="C841" t="str" cm="1">
        <f t="array" ref="C841">_xlfn.IFS(B841&lt;=30,"Young",B841&lt;=50,"Middle-aged",B841&gt;50,"Older")</f>
        <v>Older</v>
      </c>
      <c r="D841" s="5" t="s">
        <v>19</v>
      </c>
      <c r="E841" s="5" t="s">
        <v>24</v>
      </c>
      <c r="F841" s="5">
        <f t="shared" si="55"/>
        <v>0</v>
      </c>
      <c r="G841" s="5">
        <f t="shared" si="52"/>
        <v>0</v>
      </c>
      <c r="H841" s="5">
        <f t="shared" si="53"/>
        <v>1</v>
      </c>
      <c r="I841" s="5">
        <f t="shared" si="54"/>
        <v>0</v>
      </c>
      <c r="J841" s="5">
        <v>50</v>
      </c>
      <c r="K841" s="5" t="s">
        <v>59</v>
      </c>
      <c r="L841" s="5">
        <v>50</v>
      </c>
      <c r="M841" t="str" cm="1">
        <f t="array" ref="M841">_xlfn.IFS(L841&lt;=14,"Short",L841&lt;=30,"Medium",L841&lt;=45,"Long",L841&lt;=60,"Very Long")</f>
        <v>Very Long</v>
      </c>
      <c r="N841" s="5" t="s">
        <v>74</v>
      </c>
      <c r="O841" s="6">
        <v>8.6</v>
      </c>
    </row>
    <row r="842" spans="1:15" x14ac:dyDescent="0.25">
      <c r="A842" s="1" t="s">
        <v>901</v>
      </c>
      <c r="B842" s="2">
        <v>26</v>
      </c>
      <c r="C842" t="str" cm="1">
        <f t="array" ref="C842">_xlfn.IFS(B842&lt;=30,"Young",B842&lt;=50,"Middle-aged",B842&gt;50,"Older")</f>
        <v>Young</v>
      </c>
      <c r="D842" s="2" t="s">
        <v>10</v>
      </c>
      <c r="E842" s="2" t="s">
        <v>20</v>
      </c>
      <c r="F842" s="2">
        <f t="shared" si="55"/>
        <v>0</v>
      </c>
      <c r="G842" s="2">
        <f t="shared" si="52"/>
        <v>1</v>
      </c>
      <c r="H842" s="2">
        <f t="shared" si="53"/>
        <v>0</v>
      </c>
      <c r="I842" s="2">
        <f t="shared" si="54"/>
        <v>0</v>
      </c>
      <c r="J842" s="2">
        <v>500</v>
      </c>
      <c r="K842" s="2" t="s">
        <v>55</v>
      </c>
      <c r="L842" s="2">
        <v>53</v>
      </c>
      <c r="M842" t="str" cm="1">
        <f t="array" ref="M842">_xlfn.IFS(L842&lt;=14,"Short",L842&lt;=30,"Medium",L842&lt;=45,"Long",L842&lt;=60,"Very Long")</f>
        <v>Very Long</v>
      </c>
      <c r="N842" s="2" t="s">
        <v>148</v>
      </c>
      <c r="O842" s="3">
        <v>7.2</v>
      </c>
    </row>
    <row r="843" spans="1:15" x14ac:dyDescent="0.25">
      <c r="A843" s="4" t="s">
        <v>902</v>
      </c>
      <c r="B843" s="5">
        <v>67</v>
      </c>
      <c r="C843" t="str" cm="1">
        <f t="array" ref="C843">_xlfn.IFS(B843&lt;=30,"Young",B843&lt;=50,"Middle-aged",B843&gt;50,"Older")</f>
        <v>Older</v>
      </c>
      <c r="D843" s="5" t="s">
        <v>19</v>
      </c>
      <c r="E843" s="5" t="s">
        <v>24</v>
      </c>
      <c r="F843" s="5">
        <f t="shared" si="55"/>
        <v>0</v>
      </c>
      <c r="G843" s="5">
        <f t="shared" si="52"/>
        <v>0</v>
      </c>
      <c r="H843" s="5">
        <f t="shared" si="53"/>
        <v>1</v>
      </c>
      <c r="I843" s="5">
        <f t="shared" si="54"/>
        <v>0</v>
      </c>
      <c r="J843" s="5">
        <v>500</v>
      </c>
      <c r="K843" s="5" t="s">
        <v>25</v>
      </c>
      <c r="L843" s="5">
        <v>12</v>
      </c>
      <c r="M843" t="str" cm="1">
        <f t="array" ref="M843">_xlfn.IFS(L843&lt;=14,"Short",L843&lt;=30,"Medium",L843&lt;=45,"Long",L843&lt;=60,"Very Long")</f>
        <v>Short</v>
      </c>
      <c r="N843" s="5" t="s">
        <v>26</v>
      </c>
      <c r="O843" s="6">
        <v>7</v>
      </c>
    </row>
    <row r="844" spans="1:15" x14ac:dyDescent="0.25">
      <c r="A844" s="1" t="s">
        <v>903</v>
      </c>
      <c r="B844" s="2">
        <v>44</v>
      </c>
      <c r="C844" t="str" cm="1">
        <f t="array" ref="C844">_xlfn.IFS(B844&lt;=30,"Young",B844&lt;=50,"Middle-aged",B844&gt;50,"Older")</f>
        <v>Middle-aged</v>
      </c>
      <c r="D844" s="2" t="s">
        <v>19</v>
      </c>
      <c r="E844" s="2" t="s">
        <v>20</v>
      </c>
      <c r="F844" s="2">
        <f t="shared" si="55"/>
        <v>0</v>
      </c>
      <c r="G844" s="2">
        <f t="shared" si="52"/>
        <v>1</v>
      </c>
      <c r="H844" s="2">
        <f t="shared" si="53"/>
        <v>0</v>
      </c>
      <c r="I844" s="2">
        <f t="shared" si="54"/>
        <v>0</v>
      </c>
      <c r="J844" s="2">
        <v>500</v>
      </c>
      <c r="K844" s="2" t="s">
        <v>37</v>
      </c>
      <c r="L844" s="2">
        <v>47</v>
      </c>
      <c r="M844" t="str" cm="1">
        <f t="array" ref="M844">_xlfn.IFS(L844&lt;=14,"Short",L844&lt;=30,"Medium",L844&lt;=45,"Long",L844&lt;=60,"Very Long")</f>
        <v>Very Long</v>
      </c>
      <c r="N844" s="2" t="s">
        <v>13</v>
      </c>
      <c r="O844" s="3">
        <v>6.5</v>
      </c>
    </row>
    <row r="845" spans="1:15" x14ac:dyDescent="0.25">
      <c r="A845" s="4" t="s">
        <v>904</v>
      </c>
      <c r="B845" s="5">
        <v>75</v>
      </c>
      <c r="C845" t="str" cm="1">
        <f t="array" ref="C845">_xlfn.IFS(B845&lt;=30,"Young",B845&lt;=50,"Middle-aged",B845&gt;50,"Older")</f>
        <v>Older</v>
      </c>
      <c r="D845" s="5" t="s">
        <v>10</v>
      </c>
      <c r="E845" s="5" t="s">
        <v>24</v>
      </c>
      <c r="F845" s="5">
        <f t="shared" si="55"/>
        <v>0</v>
      </c>
      <c r="G845" s="5">
        <f t="shared" si="52"/>
        <v>0</v>
      </c>
      <c r="H845" s="5">
        <f t="shared" si="53"/>
        <v>1</v>
      </c>
      <c r="I845" s="5">
        <f t="shared" si="54"/>
        <v>0</v>
      </c>
      <c r="J845" s="5">
        <v>100</v>
      </c>
      <c r="K845" s="5" t="s">
        <v>25</v>
      </c>
      <c r="L845" s="5">
        <v>24</v>
      </c>
      <c r="M845" t="str" cm="1">
        <f t="array" ref="M845">_xlfn.IFS(L845&lt;=14,"Short",L845&lt;=30,"Medium",L845&lt;=45,"Long",L845&lt;=60,"Very Long")</f>
        <v>Medium</v>
      </c>
      <c r="N845" s="5" t="s">
        <v>13</v>
      </c>
      <c r="O845" s="6">
        <v>9.3000000000000007</v>
      </c>
    </row>
    <row r="846" spans="1:15" x14ac:dyDescent="0.25">
      <c r="A846" s="1" t="s">
        <v>905</v>
      </c>
      <c r="B846" s="2">
        <v>19</v>
      </c>
      <c r="C846" t="str" cm="1">
        <f t="array" ref="C846">_xlfn.IFS(B846&lt;=30,"Young",B846&lt;=50,"Middle-aged",B846&gt;50,"Older")</f>
        <v>Young</v>
      </c>
      <c r="D846" s="2" t="s">
        <v>10</v>
      </c>
      <c r="E846" s="2" t="s">
        <v>33</v>
      </c>
      <c r="F846" s="2">
        <f t="shared" si="55"/>
        <v>0</v>
      </c>
      <c r="G846" s="2">
        <f t="shared" si="52"/>
        <v>0</v>
      </c>
      <c r="H846" s="2">
        <f t="shared" si="53"/>
        <v>0</v>
      </c>
      <c r="I846" s="2">
        <f t="shared" si="54"/>
        <v>1</v>
      </c>
      <c r="J846" s="2">
        <v>250</v>
      </c>
      <c r="K846" s="2" t="s">
        <v>47</v>
      </c>
      <c r="L846" s="2">
        <v>37</v>
      </c>
      <c r="M846" t="str" cm="1">
        <f t="array" ref="M846">_xlfn.IFS(L846&lt;=14,"Short",L846&lt;=30,"Medium",L846&lt;=45,"Long",L846&lt;=60,"Very Long")</f>
        <v>Long</v>
      </c>
      <c r="N846" s="2" t="s">
        <v>225</v>
      </c>
      <c r="O846" s="3">
        <v>5.8</v>
      </c>
    </row>
    <row r="847" spans="1:15" x14ac:dyDescent="0.25">
      <c r="A847" s="4" t="s">
        <v>906</v>
      </c>
      <c r="B847" s="5">
        <v>22</v>
      </c>
      <c r="C847" t="str" cm="1">
        <f t="array" ref="C847">_xlfn.IFS(B847&lt;=30,"Young",B847&lt;=50,"Middle-aged",B847&gt;50,"Older")</f>
        <v>Young</v>
      </c>
      <c r="D847" s="5" t="s">
        <v>10</v>
      </c>
      <c r="E847" s="5" t="s">
        <v>24</v>
      </c>
      <c r="F847" s="5">
        <f t="shared" si="55"/>
        <v>0</v>
      </c>
      <c r="G847" s="5">
        <f t="shared" si="52"/>
        <v>0</v>
      </c>
      <c r="H847" s="5">
        <f t="shared" si="53"/>
        <v>1</v>
      </c>
      <c r="I847" s="5">
        <f t="shared" si="54"/>
        <v>0</v>
      </c>
      <c r="J847" s="5">
        <v>500</v>
      </c>
      <c r="K847" s="5" t="s">
        <v>59</v>
      </c>
      <c r="L847" s="5">
        <v>30</v>
      </c>
      <c r="M847" t="str" cm="1">
        <f t="array" ref="M847">_xlfn.IFS(L847&lt;=14,"Short",L847&lt;=30,"Medium",L847&lt;=45,"Long",L847&lt;=60,"Very Long")</f>
        <v>Medium</v>
      </c>
      <c r="N847" s="5" t="s">
        <v>60</v>
      </c>
      <c r="O847" s="6">
        <v>9.3000000000000007</v>
      </c>
    </row>
    <row r="848" spans="1:15" x14ac:dyDescent="0.25">
      <c r="A848" s="1" t="s">
        <v>907</v>
      </c>
      <c r="B848" s="2">
        <v>46</v>
      </c>
      <c r="C848" t="str" cm="1">
        <f t="array" ref="C848">_xlfn.IFS(B848&lt;=30,"Young",B848&lt;=50,"Middle-aged",B848&gt;50,"Older")</f>
        <v>Middle-aged</v>
      </c>
      <c r="D848" s="2" t="s">
        <v>19</v>
      </c>
      <c r="E848" s="2" t="s">
        <v>24</v>
      </c>
      <c r="F848" s="2">
        <f t="shared" si="55"/>
        <v>0</v>
      </c>
      <c r="G848" s="2">
        <f t="shared" si="52"/>
        <v>0</v>
      </c>
      <c r="H848" s="2">
        <f t="shared" si="53"/>
        <v>1</v>
      </c>
      <c r="I848" s="2">
        <f t="shared" si="54"/>
        <v>0</v>
      </c>
      <c r="J848" s="2">
        <v>50</v>
      </c>
      <c r="K848" s="2" t="s">
        <v>59</v>
      </c>
      <c r="L848" s="2">
        <v>43</v>
      </c>
      <c r="M848" t="str" cm="1">
        <f t="array" ref="M848">_xlfn.IFS(L848&lt;=14,"Short",L848&lt;=30,"Medium",L848&lt;=45,"Long",L848&lt;=60,"Very Long")</f>
        <v>Long</v>
      </c>
      <c r="N848" s="2" t="s">
        <v>150</v>
      </c>
      <c r="O848" s="3">
        <v>7.7</v>
      </c>
    </row>
    <row r="849" spans="1:15" x14ac:dyDescent="0.25">
      <c r="A849" s="4" t="s">
        <v>908</v>
      </c>
      <c r="B849" s="5">
        <v>54</v>
      </c>
      <c r="C849" t="str" cm="1">
        <f t="array" ref="C849">_xlfn.IFS(B849&lt;=30,"Young",B849&lt;=50,"Middle-aged",B849&gt;50,"Older")</f>
        <v>Older</v>
      </c>
      <c r="D849" s="5" t="s">
        <v>19</v>
      </c>
      <c r="E849" s="5" t="s">
        <v>15</v>
      </c>
      <c r="F849" s="5">
        <f t="shared" si="55"/>
        <v>1</v>
      </c>
      <c r="G849" s="5">
        <f t="shared" si="52"/>
        <v>0</v>
      </c>
      <c r="H849" s="5">
        <f t="shared" si="53"/>
        <v>0</v>
      </c>
      <c r="I849" s="5">
        <f t="shared" si="54"/>
        <v>0</v>
      </c>
      <c r="J849" s="5">
        <v>50</v>
      </c>
      <c r="K849" s="5" t="s">
        <v>63</v>
      </c>
      <c r="L849" s="5">
        <v>25</v>
      </c>
      <c r="M849" t="str" cm="1">
        <f t="array" ref="M849">_xlfn.IFS(L849&lt;=14,"Short",L849&lt;=30,"Medium",L849&lt;=45,"Long",L849&lt;=60,"Very Long")</f>
        <v>Medium</v>
      </c>
      <c r="N849" s="5" t="s">
        <v>110</v>
      </c>
      <c r="O849" s="6">
        <v>4.9000000000000004</v>
      </c>
    </row>
    <row r="850" spans="1:15" x14ac:dyDescent="0.25">
      <c r="A850" s="1" t="s">
        <v>909</v>
      </c>
      <c r="B850" s="2">
        <v>55</v>
      </c>
      <c r="C850" t="str" cm="1">
        <f t="array" ref="C850">_xlfn.IFS(B850&lt;=30,"Young",B850&lt;=50,"Middle-aged",B850&gt;50,"Older")</f>
        <v>Older</v>
      </c>
      <c r="D850" s="2" t="s">
        <v>19</v>
      </c>
      <c r="E850" s="2" t="s">
        <v>24</v>
      </c>
      <c r="F850" s="2">
        <f t="shared" si="55"/>
        <v>0</v>
      </c>
      <c r="G850" s="2">
        <f t="shared" si="52"/>
        <v>0</v>
      </c>
      <c r="H850" s="2">
        <f t="shared" si="53"/>
        <v>1</v>
      </c>
      <c r="I850" s="2">
        <f t="shared" si="54"/>
        <v>0</v>
      </c>
      <c r="J850" s="2">
        <v>50</v>
      </c>
      <c r="K850" s="2" t="s">
        <v>59</v>
      </c>
      <c r="L850" s="2">
        <v>57</v>
      </c>
      <c r="M850" t="str" cm="1">
        <f t="array" ref="M850">_xlfn.IFS(L850&lt;=14,"Short",L850&lt;=30,"Medium",L850&lt;=45,"Long",L850&lt;=60,"Very Long")</f>
        <v>Very Long</v>
      </c>
      <c r="N850" s="2" t="s">
        <v>60</v>
      </c>
      <c r="O850" s="3">
        <v>7.6</v>
      </c>
    </row>
    <row r="851" spans="1:15" x14ac:dyDescent="0.25">
      <c r="A851" s="4" t="s">
        <v>910</v>
      </c>
      <c r="B851" s="5">
        <v>36</v>
      </c>
      <c r="C851" t="str" cm="1">
        <f t="array" ref="C851">_xlfn.IFS(B851&lt;=30,"Young",B851&lt;=50,"Middle-aged",B851&gt;50,"Older")</f>
        <v>Middle-aged</v>
      </c>
      <c r="D851" s="5" t="s">
        <v>10</v>
      </c>
      <c r="E851" s="5" t="s">
        <v>15</v>
      </c>
      <c r="F851" s="5">
        <f t="shared" si="55"/>
        <v>1</v>
      </c>
      <c r="G851" s="5">
        <f t="shared" si="52"/>
        <v>0</v>
      </c>
      <c r="H851" s="5">
        <f t="shared" si="53"/>
        <v>0</v>
      </c>
      <c r="I851" s="5">
        <f t="shared" si="54"/>
        <v>0</v>
      </c>
      <c r="J851" s="5">
        <v>250</v>
      </c>
      <c r="K851" s="5" t="s">
        <v>44</v>
      </c>
      <c r="L851" s="5">
        <v>53</v>
      </c>
      <c r="M851" t="str" cm="1">
        <f t="array" ref="M851">_xlfn.IFS(L851&lt;=14,"Short",L851&lt;=30,"Medium",L851&lt;=45,"Long",L851&lt;=60,"Very Long")</f>
        <v>Very Long</v>
      </c>
      <c r="N851" s="5" t="s">
        <v>95</v>
      </c>
      <c r="O851" s="6">
        <v>3.8</v>
      </c>
    </row>
    <row r="852" spans="1:15" x14ac:dyDescent="0.25">
      <c r="A852" s="1" t="s">
        <v>911</v>
      </c>
      <c r="B852" s="2">
        <v>25</v>
      </c>
      <c r="C852" t="str" cm="1">
        <f t="array" ref="C852">_xlfn.IFS(B852&lt;=30,"Young",B852&lt;=50,"Middle-aged",B852&gt;50,"Older")</f>
        <v>Young</v>
      </c>
      <c r="D852" s="2" t="s">
        <v>10</v>
      </c>
      <c r="E852" s="2" t="s">
        <v>11</v>
      </c>
      <c r="F852" s="2">
        <f t="shared" si="55"/>
        <v>0</v>
      </c>
      <c r="G852" s="2">
        <f t="shared" si="52"/>
        <v>0</v>
      </c>
      <c r="H852" s="2">
        <f t="shared" si="53"/>
        <v>0</v>
      </c>
      <c r="I852" s="2">
        <f t="shared" si="54"/>
        <v>0</v>
      </c>
      <c r="J852" s="2">
        <v>50</v>
      </c>
      <c r="K852" s="2" t="s">
        <v>51</v>
      </c>
      <c r="L852" s="2">
        <v>46</v>
      </c>
      <c r="M852" t="str" cm="1">
        <f t="array" ref="M852">_xlfn.IFS(L852&lt;=14,"Short",L852&lt;=30,"Medium",L852&lt;=45,"Long",L852&lt;=60,"Very Long")</f>
        <v>Very Long</v>
      </c>
      <c r="N852" s="2" t="s">
        <v>13</v>
      </c>
      <c r="O852" s="3">
        <v>7.9</v>
      </c>
    </row>
    <row r="853" spans="1:15" x14ac:dyDescent="0.25">
      <c r="A853" s="4" t="s">
        <v>912</v>
      </c>
      <c r="B853" s="5">
        <v>65</v>
      </c>
      <c r="C853" t="str" cm="1">
        <f t="array" ref="C853">_xlfn.IFS(B853&lt;=30,"Young",B853&lt;=50,"Middle-aged",B853&gt;50,"Older")</f>
        <v>Older</v>
      </c>
      <c r="D853" s="5" t="s">
        <v>19</v>
      </c>
      <c r="E853" s="5" t="s">
        <v>15</v>
      </c>
      <c r="F853" s="5">
        <f t="shared" si="55"/>
        <v>1</v>
      </c>
      <c r="G853" s="5">
        <f t="shared" si="52"/>
        <v>0</v>
      </c>
      <c r="H853" s="5">
        <f t="shared" si="53"/>
        <v>0</v>
      </c>
      <c r="I853" s="5">
        <f t="shared" si="54"/>
        <v>0</v>
      </c>
      <c r="J853" s="5">
        <v>500</v>
      </c>
      <c r="K853" s="5" t="s">
        <v>44</v>
      </c>
      <c r="L853" s="5">
        <v>47</v>
      </c>
      <c r="M853" t="str" cm="1">
        <f t="array" ref="M853">_xlfn.IFS(L853&lt;=14,"Short",L853&lt;=30,"Medium",L853&lt;=45,"Long",L853&lt;=60,"Very Long")</f>
        <v>Very Long</v>
      </c>
      <c r="N853" s="5" t="s">
        <v>30</v>
      </c>
      <c r="O853" s="6">
        <v>8.3000000000000007</v>
      </c>
    </row>
    <row r="854" spans="1:15" x14ac:dyDescent="0.25">
      <c r="A854" s="1" t="s">
        <v>913</v>
      </c>
      <c r="B854" s="2">
        <v>62</v>
      </c>
      <c r="C854" t="str" cm="1">
        <f t="array" ref="C854">_xlfn.IFS(B854&lt;=30,"Young",B854&lt;=50,"Middle-aged",B854&gt;50,"Older")</f>
        <v>Older</v>
      </c>
      <c r="D854" s="2" t="s">
        <v>19</v>
      </c>
      <c r="E854" s="2" t="s">
        <v>33</v>
      </c>
      <c r="F854" s="2">
        <f t="shared" si="55"/>
        <v>0</v>
      </c>
      <c r="G854" s="2">
        <f t="shared" si="52"/>
        <v>0</v>
      </c>
      <c r="H854" s="2">
        <f t="shared" si="53"/>
        <v>0</v>
      </c>
      <c r="I854" s="2">
        <f t="shared" si="54"/>
        <v>1</v>
      </c>
      <c r="J854" s="2">
        <v>850</v>
      </c>
      <c r="K854" s="2" t="s">
        <v>49</v>
      </c>
      <c r="L854" s="2">
        <v>58</v>
      </c>
      <c r="M854" t="str" cm="1">
        <f t="array" ref="M854">_xlfn.IFS(L854&lt;=14,"Short",L854&lt;=30,"Medium",L854&lt;=45,"Long",L854&lt;=60,"Very Long")</f>
        <v>Very Long</v>
      </c>
      <c r="N854" s="2" t="s">
        <v>91</v>
      </c>
      <c r="O854" s="3">
        <v>6.1</v>
      </c>
    </row>
    <row r="855" spans="1:15" x14ac:dyDescent="0.25">
      <c r="A855" s="4" t="s">
        <v>914</v>
      </c>
      <c r="B855" s="5">
        <v>18</v>
      </c>
      <c r="C855" t="str" cm="1">
        <f t="array" ref="C855">_xlfn.IFS(B855&lt;=30,"Young",B855&lt;=50,"Middle-aged",B855&gt;50,"Older")</f>
        <v>Young</v>
      </c>
      <c r="D855" s="5" t="s">
        <v>10</v>
      </c>
      <c r="E855" s="5" t="s">
        <v>15</v>
      </c>
      <c r="F855" s="5">
        <f t="shared" si="55"/>
        <v>1</v>
      </c>
      <c r="G855" s="5">
        <f t="shared" si="52"/>
        <v>0</v>
      </c>
      <c r="H855" s="5">
        <f t="shared" si="53"/>
        <v>0</v>
      </c>
      <c r="I855" s="5">
        <f t="shared" si="54"/>
        <v>0</v>
      </c>
      <c r="J855" s="5">
        <v>850</v>
      </c>
      <c r="K855" s="5" t="s">
        <v>16</v>
      </c>
      <c r="L855" s="5">
        <v>45</v>
      </c>
      <c r="M855" t="str" cm="1">
        <f t="array" ref="M855">_xlfn.IFS(L855&lt;=14,"Short",L855&lt;=30,"Medium",L855&lt;=45,"Long",L855&lt;=60,"Very Long")</f>
        <v>Long</v>
      </c>
      <c r="N855" s="5" t="s">
        <v>30</v>
      </c>
      <c r="O855" s="6">
        <v>7.2</v>
      </c>
    </row>
    <row r="856" spans="1:15" x14ac:dyDescent="0.25">
      <c r="A856" s="1" t="s">
        <v>915</v>
      </c>
      <c r="B856" s="2">
        <v>39</v>
      </c>
      <c r="C856" t="str" cm="1">
        <f t="array" ref="C856">_xlfn.IFS(B856&lt;=30,"Young",B856&lt;=50,"Middle-aged",B856&gt;50,"Older")</f>
        <v>Middle-aged</v>
      </c>
      <c r="D856" s="2" t="s">
        <v>10</v>
      </c>
      <c r="E856" s="2" t="s">
        <v>11</v>
      </c>
      <c r="F856" s="2">
        <f t="shared" si="55"/>
        <v>0</v>
      </c>
      <c r="G856" s="2">
        <f t="shared" si="52"/>
        <v>0</v>
      </c>
      <c r="H856" s="2">
        <f t="shared" si="53"/>
        <v>0</v>
      </c>
      <c r="I856" s="2">
        <f t="shared" si="54"/>
        <v>0</v>
      </c>
      <c r="J856" s="2">
        <v>850</v>
      </c>
      <c r="K856" s="2" t="s">
        <v>84</v>
      </c>
      <c r="L856" s="2">
        <v>13</v>
      </c>
      <c r="M856" t="str" cm="1">
        <f t="array" ref="M856">_xlfn.IFS(L856&lt;=14,"Short",L856&lt;=30,"Medium",L856&lt;=45,"Long",L856&lt;=60,"Very Long")</f>
        <v>Short</v>
      </c>
      <c r="N856" s="2" t="s">
        <v>85</v>
      </c>
      <c r="O856" s="3">
        <v>9.9</v>
      </c>
    </row>
    <row r="857" spans="1:15" x14ac:dyDescent="0.25">
      <c r="A857" s="4" t="s">
        <v>916</v>
      </c>
      <c r="B857" s="5">
        <v>69</v>
      </c>
      <c r="C857" t="str" cm="1">
        <f t="array" ref="C857">_xlfn.IFS(B857&lt;=30,"Young",B857&lt;=50,"Middle-aged",B857&gt;50,"Older")</f>
        <v>Older</v>
      </c>
      <c r="D857" s="5" t="s">
        <v>10</v>
      </c>
      <c r="E857" s="5" t="s">
        <v>33</v>
      </c>
      <c r="F857" s="5">
        <f t="shared" si="55"/>
        <v>0</v>
      </c>
      <c r="G857" s="5">
        <f t="shared" si="52"/>
        <v>0</v>
      </c>
      <c r="H857" s="5">
        <f t="shared" si="53"/>
        <v>0</v>
      </c>
      <c r="I857" s="5">
        <f t="shared" si="54"/>
        <v>1</v>
      </c>
      <c r="J857" s="5">
        <v>500</v>
      </c>
      <c r="K857" s="5" t="s">
        <v>49</v>
      </c>
      <c r="L857" s="5">
        <v>28</v>
      </c>
      <c r="M857" t="str" cm="1">
        <f t="array" ref="M857">_xlfn.IFS(L857&lt;=14,"Short",L857&lt;=30,"Medium",L857&lt;=45,"Long",L857&lt;=60,"Very Long")</f>
        <v>Medium</v>
      </c>
      <c r="N857" s="5" t="s">
        <v>30</v>
      </c>
      <c r="O857" s="6">
        <v>6.2</v>
      </c>
    </row>
    <row r="858" spans="1:15" x14ac:dyDescent="0.25">
      <c r="A858" s="1" t="s">
        <v>917</v>
      </c>
      <c r="B858" s="2">
        <v>34</v>
      </c>
      <c r="C858" t="str" cm="1">
        <f t="array" ref="C858">_xlfn.IFS(B858&lt;=30,"Young",B858&lt;=50,"Middle-aged",B858&gt;50,"Older")</f>
        <v>Middle-aged</v>
      </c>
      <c r="D858" s="2" t="s">
        <v>10</v>
      </c>
      <c r="E858" s="2" t="s">
        <v>20</v>
      </c>
      <c r="F858" s="2">
        <f t="shared" si="55"/>
        <v>0</v>
      </c>
      <c r="G858" s="2">
        <f t="shared" si="52"/>
        <v>1</v>
      </c>
      <c r="H858" s="2">
        <f t="shared" si="53"/>
        <v>0</v>
      </c>
      <c r="I858" s="2">
        <f t="shared" si="54"/>
        <v>0</v>
      </c>
      <c r="J858" s="2">
        <v>850</v>
      </c>
      <c r="K858" s="2" t="s">
        <v>21</v>
      </c>
      <c r="L858" s="2">
        <v>41</v>
      </c>
      <c r="M858" t="str" cm="1">
        <f t="array" ref="M858">_xlfn.IFS(L858&lt;=14,"Short",L858&lt;=30,"Medium",L858&lt;=45,"Long",L858&lt;=60,"Very Long")</f>
        <v>Long</v>
      </c>
      <c r="N858" s="2" t="s">
        <v>28</v>
      </c>
      <c r="O858" s="3">
        <v>5.4</v>
      </c>
    </row>
    <row r="859" spans="1:15" x14ac:dyDescent="0.25">
      <c r="A859" s="4" t="s">
        <v>918</v>
      </c>
      <c r="B859" s="5">
        <v>24</v>
      </c>
      <c r="C859" t="str" cm="1">
        <f t="array" ref="C859">_xlfn.IFS(B859&lt;=30,"Young",B859&lt;=50,"Middle-aged",B859&gt;50,"Older")</f>
        <v>Young</v>
      </c>
      <c r="D859" s="5" t="s">
        <v>19</v>
      </c>
      <c r="E859" s="5" t="s">
        <v>20</v>
      </c>
      <c r="F859" s="5">
        <f t="shared" si="55"/>
        <v>0</v>
      </c>
      <c r="G859" s="5">
        <f t="shared" si="52"/>
        <v>1</v>
      </c>
      <c r="H859" s="5">
        <f t="shared" si="53"/>
        <v>0</v>
      </c>
      <c r="I859" s="5">
        <f t="shared" si="54"/>
        <v>0</v>
      </c>
      <c r="J859" s="5">
        <v>500</v>
      </c>
      <c r="K859" s="5" t="s">
        <v>55</v>
      </c>
      <c r="L859" s="5">
        <v>53</v>
      </c>
      <c r="M859" t="str" cm="1">
        <f t="array" ref="M859">_xlfn.IFS(L859&lt;=14,"Short",L859&lt;=30,"Medium",L859&lt;=45,"Long",L859&lt;=60,"Very Long")</f>
        <v>Very Long</v>
      </c>
      <c r="N859" s="5" t="s">
        <v>148</v>
      </c>
      <c r="O859" s="6">
        <v>9.1999999999999993</v>
      </c>
    </row>
    <row r="860" spans="1:15" x14ac:dyDescent="0.25">
      <c r="A860" s="1" t="s">
        <v>919</v>
      </c>
      <c r="B860" s="2">
        <v>42</v>
      </c>
      <c r="C860" t="str" cm="1">
        <f t="array" ref="C860">_xlfn.IFS(B860&lt;=30,"Young",B860&lt;=50,"Middle-aged",B860&gt;50,"Older")</f>
        <v>Middle-aged</v>
      </c>
      <c r="D860" s="2" t="s">
        <v>10</v>
      </c>
      <c r="E860" s="2" t="s">
        <v>15</v>
      </c>
      <c r="F860" s="2">
        <f t="shared" si="55"/>
        <v>1</v>
      </c>
      <c r="G860" s="2">
        <f t="shared" si="52"/>
        <v>0</v>
      </c>
      <c r="H860" s="2">
        <f t="shared" si="53"/>
        <v>0</v>
      </c>
      <c r="I860" s="2">
        <f t="shared" si="54"/>
        <v>0</v>
      </c>
      <c r="J860" s="2">
        <v>50</v>
      </c>
      <c r="K860" s="2" t="s">
        <v>16</v>
      </c>
      <c r="L860" s="2">
        <v>45</v>
      </c>
      <c r="M860" t="str" cm="1">
        <f t="array" ref="M860">_xlfn.IFS(L860&lt;=14,"Short",L860&lt;=30,"Medium",L860&lt;=45,"Long",L860&lt;=60,"Very Long")</f>
        <v>Long</v>
      </c>
      <c r="N860" s="2" t="s">
        <v>17</v>
      </c>
      <c r="O860" s="3">
        <v>9.9</v>
      </c>
    </row>
    <row r="861" spans="1:15" x14ac:dyDescent="0.25">
      <c r="A861" s="4" t="s">
        <v>920</v>
      </c>
      <c r="B861" s="5">
        <v>62</v>
      </c>
      <c r="C861" t="str" cm="1">
        <f t="array" ref="C861">_xlfn.IFS(B861&lt;=30,"Young",B861&lt;=50,"Middle-aged",B861&gt;50,"Older")</f>
        <v>Older</v>
      </c>
      <c r="D861" s="5" t="s">
        <v>19</v>
      </c>
      <c r="E861" s="5" t="s">
        <v>15</v>
      </c>
      <c r="F861" s="5">
        <f t="shared" si="55"/>
        <v>1</v>
      </c>
      <c r="G861" s="5">
        <f t="shared" si="52"/>
        <v>0</v>
      </c>
      <c r="H861" s="5">
        <f t="shared" si="53"/>
        <v>0</v>
      </c>
      <c r="I861" s="5">
        <f t="shared" si="54"/>
        <v>0</v>
      </c>
      <c r="J861" s="5">
        <v>100</v>
      </c>
      <c r="K861" s="5" t="s">
        <v>63</v>
      </c>
      <c r="L861" s="5">
        <v>21</v>
      </c>
      <c r="M861" t="str" cm="1">
        <f t="array" ref="M861">_xlfn.IFS(L861&lt;=14,"Short",L861&lt;=30,"Medium",L861&lt;=45,"Long",L861&lt;=60,"Very Long")</f>
        <v>Medium</v>
      </c>
      <c r="N861" s="5" t="s">
        <v>110</v>
      </c>
      <c r="O861" s="6">
        <v>7</v>
      </c>
    </row>
    <row r="862" spans="1:15" x14ac:dyDescent="0.25">
      <c r="A862" s="1" t="s">
        <v>921</v>
      </c>
      <c r="B862" s="2">
        <v>21</v>
      </c>
      <c r="C862" t="str" cm="1">
        <f t="array" ref="C862">_xlfn.IFS(B862&lt;=30,"Young",B862&lt;=50,"Middle-aged",B862&gt;50,"Older")</f>
        <v>Young</v>
      </c>
      <c r="D862" s="2" t="s">
        <v>19</v>
      </c>
      <c r="E862" s="2" t="s">
        <v>11</v>
      </c>
      <c r="F862" s="2">
        <f t="shared" si="55"/>
        <v>0</v>
      </c>
      <c r="G862" s="2">
        <f t="shared" si="52"/>
        <v>0</v>
      </c>
      <c r="H862" s="2">
        <f t="shared" si="53"/>
        <v>0</v>
      </c>
      <c r="I862" s="2">
        <f t="shared" si="54"/>
        <v>0</v>
      </c>
      <c r="J862" s="2">
        <v>500</v>
      </c>
      <c r="K862" s="2" t="s">
        <v>84</v>
      </c>
      <c r="L862" s="2">
        <v>28</v>
      </c>
      <c r="M862" t="str" cm="1">
        <f t="array" ref="M862">_xlfn.IFS(L862&lt;=14,"Short",L862&lt;=30,"Medium",L862&lt;=45,"Long",L862&lt;=60,"Very Long")</f>
        <v>Medium</v>
      </c>
      <c r="N862" s="2" t="s">
        <v>97</v>
      </c>
      <c r="O862" s="3">
        <v>8.5</v>
      </c>
    </row>
    <row r="863" spans="1:15" x14ac:dyDescent="0.25">
      <c r="A863" s="4" t="s">
        <v>922</v>
      </c>
      <c r="B863" s="5">
        <v>53</v>
      </c>
      <c r="C863" t="str" cm="1">
        <f t="array" ref="C863">_xlfn.IFS(B863&lt;=30,"Young",B863&lt;=50,"Middle-aged",B863&gt;50,"Older")</f>
        <v>Older</v>
      </c>
      <c r="D863" s="5" t="s">
        <v>19</v>
      </c>
      <c r="E863" s="5" t="s">
        <v>11</v>
      </c>
      <c r="F863" s="5">
        <f t="shared" si="55"/>
        <v>0</v>
      </c>
      <c r="G863" s="5">
        <f t="shared" si="52"/>
        <v>0</v>
      </c>
      <c r="H863" s="5">
        <f t="shared" si="53"/>
        <v>0</v>
      </c>
      <c r="I863" s="5">
        <f t="shared" si="54"/>
        <v>0</v>
      </c>
      <c r="J863" s="5">
        <v>100</v>
      </c>
      <c r="K863" s="5" t="s">
        <v>12</v>
      </c>
      <c r="L863" s="5">
        <v>25</v>
      </c>
      <c r="M863" t="str" cm="1">
        <f t="array" ref="M863">_xlfn.IFS(L863&lt;=14,"Short",L863&lt;=30,"Medium",L863&lt;=45,"Long",L863&lt;=60,"Very Long")</f>
        <v>Medium</v>
      </c>
      <c r="N863" s="5" t="s">
        <v>13</v>
      </c>
      <c r="O863" s="6">
        <v>9</v>
      </c>
    </row>
    <row r="864" spans="1:15" x14ac:dyDescent="0.25">
      <c r="A864" s="1" t="s">
        <v>923</v>
      </c>
      <c r="B864" s="2">
        <v>23</v>
      </c>
      <c r="C864" t="str" cm="1">
        <f t="array" ref="C864">_xlfn.IFS(B864&lt;=30,"Young",B864&lt;=50,"Middle-aged",B864&gt;50,"Older")</f>
        <v>Young</v>
      </c>
      <c r="D864" s="2" t="s">
        <v>10</v>
      </c>
      <c r="E864" s="2" t="s">
        <v>24</v>
      </c>
      <c r="F864" s="2">
        <f t="shared" si="55"/>
        <v>0</v>
      </c>
      <c r="G864" s="2">
        <f t="shared" si="52"/>
        <v>0</v>
      </c>
      <c r="H864" s="2">
        <f t="shared" si="53"/>
        <v>1</v>
      </c>
      <c r="I864" s="2">
        <f t="shared" si="54"/>
        <v>0</v>
      </c>
      <c r="J864" s="2">
        <v>50</v>
      </c>
      <c r="K864" s="2" t="s">
        <v>39</v>
      </c>
      <c r="L864" s="2">
        <v>55</v>
      </c>
      <c r="M864" t="str" cm="1">
        <f t="array" ref="M864">_xlfn.IFS(L864&lt;=14,"Short",L864&lt;=30,"Medium",L864&lt;=45,"Long",L864&lt;=60,"Very Long")</f>
        <v>Very Long</v>
      </c>
      <c r="N864" s="2" t="s">
        <v>13</v>
      </c>
      <c r="O864" s="3">
        <v>5.9</v>
      </c>
    </row>
    <row r="865" spans="1:15" x14ac:dyDescent="0.25">
      <c r="A865" s="4" t="s">
        <v>924</v>
      </c>
      <c r="B865" s="5">
        <v>77</v>
      </c>
      <c r="C865" t="str" cm="1">
        <f t="array" ref="C865">_xlfn.IFS(B865&lt;=30,"Young",B865&lt;=50,"Middle-aged",B865&gt;50,"Older")</f>
        <v>Older</v>
      </c>
      <c r="D865" s="5" t="s">
        <v>10</v>
      </c>
      <c r="E865" s="5" t="s">
        <v>11</v>
      </c>
      <c r="F865" s="5">
        <f t="shared" si="55"/>
        <v>0</v>
      </c>
      <c r="G865" s="5">
        <f t="shared" si="52"/>
        <v>0</v>
      </c>
      <c r="H865" s="5">
        <f t="shared" si="53"/>
        <v>0</v>
      </c>
      <c r="I865" s="5">
        <f t="shared" si="54"/>
        <v>0</v>
      </c>
      <c r="J865" s="5">
        <v>50</v>
      </c>
      <c r="K865" s="5" t="s">
        <v>51</v>
      </c>
      <c r="L865" s="5">
        <v>43</v>
      </c>
      <c r="M865" t="str" cm="1">
        <f t="array" ref="M865">_xlfn.IFS(L865&lt;=14,"Short",L865&lt;=30,"Medium",L865&lt;=45,"Long",L865&lt;=60,"Very Long")</f>
        <v>Long</v>
      </c>
      <c r="N865" s="5" t="s">
        <v>41</v>
      </c>
      <c r="O865" s="6">
        <v>6.3</v>
      </c>
    </row>
    <row r="866" spans="1:15" x14ac:dyDescent="0.25">
      <c r="A866" s="1" t="s">
        <v>925</v>
      </c>
      <c r="B866" s="2">
        <v>48</v>
      </c>
      <c r="C866" t="str" cm="1">
        <f t="array" ref="C866">_xlfn.IFS(B866&lt;=30,"Young",B866&lt;=50,"Middle-aged",B866&gt;50,"Older")</f>
        <v>Middle-aged</v>
      </c>
      <c r="D866" s="2" t="s">
        <v>10</v>
      </c>
      <c r="E866" s="2" t="s">
        <v>24</v>
      </c>
      <c r="F866" s="2">
        <f t="shared" si="55"/>
        <v>0</v>
      </c>
      <c r="G866" s="2">
        <f t="shared" si="52"/>
        <v>0</v>
      </c>
      <c r="H866" s="2">
        <f t="shared" si="53"/>
        <v>1</v>
      </c>
      <c r="I866" s="2">
        <f t="shared" si="54"/>
        <v>0</v>
      </c>
      <c r="J866" s="2">
        <v>500</v>
      </c>
      <c r="K866" s="2" t="s">
        <v>25</v>
      </c>
      <c r="L866" s="2">
        <v>59</v>
      </c>
      <c r="M866" t="str" cm="1">
        <f t="array" ref="M866">_xlfn.IFS(L866&lt;=14,"Short",L866&lt;=30,"Medium",L866&lt;=45,"Long",L866&lt;=60,"Very Long")</f>
        <v>Very Long</v>
      </c>
      <c r="N866" s="2" t="s">
        <v>26</v>
      </c>
      <c r="O866" s="3">
        <v>8.8000000000000007</v>
      </c>
    </row>
    <row r="867" spans="1:15" x14ac:dyDescent="0.25">
      <c r="A867" s="4" t="s">
        <v>926</v>
      </c>
      <c r="B867" s="5">
        <v>36</v>
      </c>
      <c r="C867" t="str" cm="1">
        <f t="array" ref="C867">_xlfn.IFS(B867&lt;=30,"Young",B867&lt;=50,"Middle-aged",B867&gt;50,"Older")</f>
        <v>Middle-aged</v>
      </c>
      <c r="D867" s="5" t="s">
        <v>10</v>
      </c>
      <c r="E867" s="5" t="s">
        <v>33</v>
      </c>
      <c r="F867" s="5">
        <f t="shared" si="55"/>
        <v>0</v>
      </c>
      <c r="G867" s="5">
        <f t="shared" si="52"/>
        <v>0</v>
      </c>
      <c r="H867" s="5">
        <f t="shared" si="53"/>
        <v>0</v>
      </c>
      <c r="I867" s="5">
        <f t="shared" si="54"/>
        <v>1</v>
      </c>
      <c r="J867" s="5">
        <v>250</v>
      </c>
      <c r="K867" s="5" t="s">
        <v>49</v>
      </c>
      <c r="L867" s="5">
        <v>45</v>
      </c>
      <c r="M867" t="str" cm="1">
        <f t="array" ref="M867">_xlfn.IFS(L867&lt;=14,"Short",L867&lt;=30,"Medium",L867&lt;=45,"Long",L867&lt;=60,"Very Long")</f>
        <v>Long</v>
      </c>
      <c r="N867" s="5" t="s">
        <v>13</v>
      </c>
      <c r="O867" s="6">
        <v>9.5</v>
      </c>
    </row>
    <row r="868" spans="1:15" x14ac:dyDescent="0.25">
      <c r="A868" s="1" t="s">
        <v>927</v>
      </c>
      <c r="B868" s="2">
        <v>78</v>
      </c>
      <c r="C868" t="str" cm="1">
        <f t="array" ref="C868">_xlfn.IFS(B868&lt;=30,"Young",B868&lt;=50,"Middle-aged",B868&gt;50,"Older")</f>
        <v>Older</v>
      </c>
      <c r="D868" s="2" t="s">
        <v>19</v>
      </c>
      <c r="E868" s="2" t="s">
        <v>15</v>
      </c>
      <c r="F868" s="2">
        <f t="shared" si="55"/>
        <v>1</v>
      </c>
      <c r="G868" s="2">
        <f t="shared" si="52"/>
        <v>0</v>
      </c>
      <c r="H868" s="2">
        <f t="shared" si="53"/>
        <v>0</v>
      </c>
      <c r="I868" s="2">
        <f t="shared" si="54"/>
        <v>0</v>
      </c>
      <c r="J868" s="2">
        <v>850</v>
      </c>
      <c r="K868" s="2" t="s">
        <v>44</v>
      </c>
      <c r="L868" s="2">
        <v>43</v>
      </c>
      <c r="M868" t="str" cm="1">
        <f t="array" ref="M868">_xlfn.IFS(L868&lt;=14,"Short",L868&lt;=30,"Medium",L868&lt;=45,"Long",L868&lt;=60,"Very Long")</f>
        <v>Long</v>
      </c>
      <c r="N868" s="2" t="s">
        <v>95</v>
      </c>
      <c r="O868" s="3">
        <v>7.8</v>
      </c>
    </row>
    <row r="869" spans="1:15" x14ac:dyDescent="0.25">
      <c r="A869" s="4" t="s">
        <v>928</v>
      </c>
      <c r="B869" s="5">
        <v>61</v>
      </c>
      <c r="C869" t="str" cm="1">
        <f t="array" ref="C869">_xlfn.IFS(B869&lt;=30,"Young",B869&lt;=50,"Middle-aged",B869&gt;50,"Older")</f>
        <v>Older</v>
      </c>
      <c r="D869" s="5" t="s">
        <v>10</v>
      </c>
      <c r="E869" s="5" t="s">
        <v>33</v>
      </c>
      <c r="F869" s="5">
        <f t="shared" si="55"/>
        <v>0</v>
      </c>
      <c r="G869" s="5">
        <f t="shared" si="52"/>
        <v>0</v>
      </c>
      <c r="H869" s="5">
        <f t="shared" si="53"/>
        <v>0</v>
      </c>
      <c r="I869" s="5">
        <f t="shared" si="54"/>
        <v>1</v>
      </c>
      <c r="J869" s="5">
        <v>250</v>
      </c>
      <c r="K869" s="5" t="s">
        <v>34</v>
      </c>
      <c r="L869" s="5">
        <v>17</v>
      </c>
      <c r="M869" t="str" cm="1">
        <f t="array" ref="M869">_xlfn.IFS(L869&lt;=14,"Short",L869&lt;=30,"Medium",L869&lt;=45,"Long",L869&lt;=60,"Very Long")</f>
        <v>Medium</v>
      </c>
      <c r="N869" s="5" t="s">
        <v>97</v>
      </c>
      <c r="O869" s="6">
        <v>5.7</v>
      </c>
    </row>
    <row r="870" spans="1:15" x14ac:dyDescent="0.25">
      <c r="A870" s="1" t="s">
        <v>929</v>
      </c>
      <c r="B870" s="2">
        <v>71</v>
      </c>
      <c r="C870" t="str" cm="1">
        <f t="array" ref="C870">_xlfn.IFS(B870&lt;=30,"Young",B870&lt;=50,"Middle-aged",B870&gt;50,"Older")</f>
        <v>Older</v>
      </c>
      <c r="D870" s="2" t="s">
        <v>10</v>
      </c>
      <c r="E870" s="2" t="s">
        <v>11</v>
      </c>
      <c r="F870" s="2">
        <f t="shared" si="55"/>
        <v>0</v>
      </c>
      <c r="G870" s="2">
        <f t="shared" si="52"/>
        <v>0</v>
      </c>
      <c r="H870" s="2">
        <f t="shared" si="53"/>
        <v>0</v>
      </c>
      <c r="I870" s="2">
        <f t="shared" si="54"/>
        <v>0</v>
      </c>
      <c r="J870" s="2">
        <v>850</v>
      </c>
      <c r="K870" s="2" t="s">
        <v>51</v>
      </c>
      <c r="L870" s="2">
        <v>15</v>
      </c>
      <c r="M870" t="str" cm="1">
        <f t="array" ref="M870">_xlfn.IFS(L870&lt;=14,"Short",L870&lt;=30,"Medium",L870&lt;=45,"Long",L870&lt;=60,"Very Long")</f>
        <v>Medium</v>
      </c>
      <c r="N870" s="2" t="s">
        <v>41</v>
      </c>
      <c r="O870" s="3">
        <v>10</v>
      </c>
    </row>
    <row r="871" spans="1:15" x14ac:dyDescent="0.25">
      <c r="A871" s="4" t="s">
        <v>930</v>
      </c>
      <c r="B871" s="5">
        <v>56</v>
      </c>
      <c r="C871" t="str" cm="1">
        <f t="array" ref="C871">_xlfn.IFS(B871&lt;=30,"Young",B871&lt;=50,"Middle-aged",B871&gt;50,"Older")</f>
        <v>Older</v>
      </c>
      <c r="D871" s="5" t="s">
        <v>19</v>
      </c>
      <c r="E871" s="5" t="s">
        <v>33</v>
      </c>
      <c r="F871" s="5">
        <f t="shared" si="55"/>
        <v>0</v>
      </c>
      <c r="G871" s="5">
        <f t="shared" si="52"/>
        <v>0</v>
      </c>
      <c r="H871" s="5">
        <f t="shared" si="53"/>
        <v>0</v>
      </c>
      <c r="I871" s="5">
        <f t="shared" si="54"/>
        <v>1</v>
      </c>
      <c r="J871" s="5">
        <v>50</v>
      </c>
      <c r="K871" s="5" t="s">
        <v>47</v>
      </c>
      <c r="L871" s="5">
        <v>50</v>
      </c>
      <c r="M871" t="str" cm="1">
        <f t="array" ref="M871">_xlfn.IFS(L871&lt;=14,"Short",L871&lt;=30,"Medium",L871&lt;=45,"Long",L871&lt;=60,"Very Long")</f>
        <v>Very Long</v>
      </c>
      <c r="N871" s="5" t="s">
        <v>225</v>
      </c>
      <c r="O871" s="6">
        <v>6.2</v>
      </c>
    </row>
    <row r="872" spans="1:15" x14ac:dyDescent="0.25">
      <c r="A872" s="1" t="s">
        <v>931</v>
      </c>
      <c r="B872" s="2">
        <v>44</v>
      </c>
      <c r="C872" t="str" cm="1">
        <f t="array" ref="C872">_xlfn.IFS(B872&lt;=30,"Young",B872&lt;=50,"Middle-aged",B872&gt;50,"Older")</f>
        <v>Middle-aged</v>
      </c>
      <c r="D872" s="2" t="s">
        <v>10</v>
      </c>
      <c r="E872" s="2" t="s">
        <v>33</v>
      </c>
      <c r="F872" s="2">
        <f t="shared" si="55"/>
        <v>0</v>
      </c>
      <c r="G872" s="2">
        <f t="shared" si="52"/>
        <v>0</v>
      </c>
      <c r="H872" s="2">
        <f t="shared" si="53"/>
        <v>0</v>
      </c>
      <c r="I872" s="2">
        <f t="shared" si="54"/>
        <v>1</v>
      </c>
      <c r="J872" s="2">
        <v>850</v>
      </c>
      <c r="K872" s="2" t="s">
        <v>34</v>
      </c>
      <c r="L872" s="2">
        <v>23</v>
      </c>
      <c r="M872" t="str" cm="1">
        <f t="array" ref="M872">_xlfn.IFS(L872&lt;=14,"Short",L872&lt;=30,"Medium",L872&lt;=45,"Long",L872&lt;=60,"Very Long")</f>
        <v>Medium</v>
      </c>
      <c r="N872" s="2" t="s">
        <v>35</v>
      </c>
      <c r="O872" s="3">
        <v>6.5</v>
      </c>
    </row>
    <row r="873" spans="1:15" x14ac:dyDescent="0.25">
      <c r="A873" s="4" t="s">
        <v>932</v>
      </c>
      <c r="B873" s="5">
        <v>27</v>
      </c>
      <c r="C873" t="str" cm="1">
        <f t="array" ref="C873">_xlfn.IFS(B873&lt;=30,"Young",B873&lt;=50,"Middle-aged",B873&gt;50,"Older")</f>
        <v>Young</v>
      </c>
      <c r="D873" s="5" t="s">
        <v>19</v>
      </c>
      <c r="E873" s="5" t="s">
        <v>33</v>
      </c>
      <c r="F873" s="5">
        <f t="shared" si="55"/>
        <v>0</v>
      </c>
      <c r="G873" s="5">
        <f t="shared" si="52"/>
        <v>0</v>
      </c>
      <c r="H873" s="5">
        <f t="shared" si="53"/>
        <v>0</v>
      </c>
      <c r="I873" s="5">
        <f t="shared" si="54"/>
        <v>1</v>
      </c>
      <c r="J873" s="5">
        <v>850</v>
      </c>
      <c r="K873" s="5" t="s">
        <v>34</v>
      </c>
      <c r="L873" s="5">
        <v>15</v>
      </c>
      <c r="M873" t="str" cm="1">
        <f t="array" ref="M873">_xlfn.IFS(L873&lt;=14,"Short",L873&lt;=30,"Medium",L873&lt;=45,"Long",L873&lt;=60,"Very Long")</f>
        <v>Medium</v>
      </c>
      <c r="N873" s="5" t="s">
        <v>97</v>
      </c>
      <c r="O873" s="6">
        <v>7.5</v>
      </c>
    </row>
    <row r="874" spans="1:15" x14ac:dyDescent="0.25">
      <c r="A874" s="1" t="s">
        <v>933</v>
      </c>
      <c r="B874" s="2">
        <v>43</v>
      </c>
      <c r="C874" t="str" cm="1">
        <f t="array" ref="C874">_xlfn.IFS(B874&lt;=30,"Young",B874&lt;=50,"Middle-aged",B874&gt;50,"Older")</f>
        <v>Middle-aged</v>
      </c>
      <c r="D874" s="2" t="s">
        <v>19</v>
      </c>
      <c r="E874" s="2" t="s">
        <v>11</v>
      </c>
      <c r="F874" s="2">
        <f t="shared" si="55"/>
        <v>0</v>
      </c>
      <c r="G874" s="2">
        <f t="shared" si="52"/>
        <v>0</v>
      </c>
      <c r="H874" s="2">
        <f t="shared" si="53"/>
        <v>0</v>
      </c>
      <c r="I874" s="2">
        <f t="shared" si="54"/>
        <v>0</v>
      </c>
      <c r="J874" s="2">
        <v>100</v>
      </c>
      <c r="K874" s="2" t="s">
        <v>51</v>
      </c>
      <c r="L874" s="2">
        <v>17</v>
      </c>
      <c r="M874" t="str" cm="1">
        <f t="array" ref="M874">_xlfn.IFS(L874&lt;=14,"Short",L874&lt;=30,"Medium",L874&lt;=45,"Long",L874&lt;=60,"Very Long")</f>
        <v>Medium</v>
      </c>
      <c r="N874" s="2" t="s">
        <v>13</v>
      </c>
      <c r="O874" s="3">
        <v>9.3000000000000007</v>
      </c>
    </row>
    <row r="875" spans="1:15" x14ac:dyDescent="0.25">
      <c r="A875" s="4" t="s">
        <v>934</v>
      </c>
      <c r="B875" s="5">
        <v>36</v>
      </c>
      <c r="C875" t="str" cm="1">
        <f t="array" ref="C875">_xlfn.IFS(B875&lt;=30,"Young",B875&lt;=50,"Middle-aged",B875&gt;50,"Older")</f>
        <v>Middle-aged</v>
      </c>
      <c r="D875" s="5" t="s">
        <v>19</v>
      </c>
      <c r="E875" s="5" t="s">
        <v>33</v>
      </c>
      <c r="F875" s="5">
        <f t="shared" si="55"/>
        <v>0</v>
      </c>
      <c r="G875" s="5">
        <f t="shared" si="52"/>
        <v>0</v>
      </c>
      <c r="H875" s="5">
        <f t="shared" si="53"/>
        <v>0</v>
      </c>
      <c r="I875" s="5">
        <f t="shared" si="54"/>
        <v>1</v>
      </c>
      <c r="J875" s="5">
        <v>250</v>
      </c>
      <c r="K875" s="5" t="s">
        <v>49</v>
      </c>
      <c r="L875" s="5">
        <v>50</v>
      </c>
      <c r="M875" t="str" cm="1">
        <f t="array" ref="M875">_xlfn.IFS(L875&lt;=14,"Short",L875&lt;=30,"Medium",L875&lt;=45,"Long",L875&lt;=60,"Very Long")</f>
        <v>Very Long</v>
      </c>
      <c r="N875" s="5" t="s">
        <v>13</v>
      </c>
      <c r="O875" s="6">
        <v>8.3000000000000007</v>
      </c>
    </row>
    <row r="876" spans="1:15" x14ac:dyDescent="0.25">
      <c r="A876" s="1" t="s">
        <v>935</v>
      </c>
      <c r="B876" s="2">
        <v>56</v>
      </c>
      <c r="C876" t="str" cm="1">
        <f t="array" ref="C876">_xlfn.IFS(B876&lt;=30,"Young",B876&lt;=50,"Middle-aged",B876&gt;50,"Older")</f>
        <v>Older</v>
      </c>
      <c r="D876" s="2" t="s">
        <v>19</v>
      </c>
      <c r="E876" s="2" t="s">
        <v>24</v>
      </c>
      <c r="F876" s="2">
        <f t="shared" si="55"/>
        <v>0</v>
      </c>
      <c r="G876" s="2">
        <f t="shared" si="52"/>
        <v>0</v>
      </c>
      <c r="H876" s="2">
        <f t="shared" si="53"/>
        <v>1</v>
      </c>
      <c r="I876" s="2">
        <f t="shared" si="54"/>
        <v>0</v>
      </c>
      <c r="J876" s="2">
        <v>850</v>
      </c>
      <c r="K876" s="2" t="s">
        <v>39</v>
      </c>
      <c r="L876" s="2">
        <v>49</v>
      </c>
      <c r="M876" t="str" cm="1">
        <f t="array" ref="M876">_xlfn.IFS(L876&lt;=14,"Short",L876&lt;=30,"Medium",L876&lt;=45,"Long",L876&lt;=60,"Very Long")</f>
        <v>Very Long</v>
      </c>
      <c r="N876" s="2" t="s">
        <v>13</v>
      </c>
      <c r="O876" s="3">
        <v>7.6</v>
      </c>
    </row>
    <row r="877" spans="1:15" x14ac:dyDescent="0.25">
      <c r="A877" s="4" t="s">
        <v>936</v>
      </c>
      <c r="B877" s="5">
        <v>79</v>
      </c>
      <c r="C877" t="str" cm="1">
        <f t="array" ref="C877">_xlfn.IFS(B877&lt;=30,"Young",B877&lt;=50,"Middle-aged",B877&gt;50,"Older")</f>
        <v>Older</v>
      </c>
      <c r="D877" s="5" t="s">
        <v>19</v>
      </c>
      <c r="E877" s="5" t="s">
        <v>11</v>
      </c>
      <c r="F877" s="5">
        <f t="shared" si="55"/>
        <v>0</v>
      </c>
      <c r="G877" s="5">
        <f t="shared" si="52"/>
        <v>0</v>
      </c>
      <c r="H877" s="5">
        <f t="shared" si="53"/>
        <v>0</v>
      </c>
      <c r="I877" s="5">
        <f t="shared" si="54"/>
        <v>0</v>
      </c>
      <c r="J877" s="5">
        <v>50</v>
      </c>
      <c r="K877" s="5" t="s">
        <v>12</v>
      </c>
      <c r="L877" s="5">
        <v>5</v>
      </c>
      <c r="M877" t="str" cm="1">
        <f t="array" ref="M877">_xlfn.IFS(L877&lt;=14,"Short",L877&lt;=30,"Medium",L877&lt;=45,"Long",L877&lt;=60,"Very Long")</f>
        <v>Short</v>
      </c>
      <c r="N877" s="5" t="s">
        <v>120</v>
      </c>
      <c r="O877" s="6">
        <v>7.7</v>
      </c>
    </row>
    <row r="878" spans="1:15" x14ac:dyDescent="0.25">
      <c r="A878" s="1" t="s">
        <v>937</v>
      </c>
      <c r="B878" s="2">
        <v>20</v>
      </c>
      <c r="C878" t="str" cm="1">
        <f t="array" ref="C878">_xlfn.IFS(B878&lt;=30,"Young",B878&lt;=50,"Middle-aged",B878&gt;50,"Older")</f>
        <v>Young</v>
      </c>
      <c r="D878" s="2" t="s">
        <v>19</v>
      </c>
      <c r="E878" s="2" t="s">
        <v>33</v>
      </c>
      <c r="F878" s="2">
        <f t="shared" si="55"/>
        <v>0</v>
      </c>
      <c r="G878" s="2">
        <f t="shared" si="52"/>
        <v>0</v>
      </c>
      <c r="H878" s="2">
        <f t="shared" si="53"/>
        <v>0</v>
      </c>
      <c r="I878" s="2">
        <f t="shared" si="54"/>
        <v>1</v>
      </c>
      <c r="J878" s="2">
        <v>100</v>
      </c>
      <c r="K878" s="2" t="s">
        <v>47</v>
      </c>
      <c r="L878" s="2">
        <v>44</v>
      </c>
      <c r="M878" t="str" cm="1">
        <f t="array" ref="M878">_xlfn.IFS(L878&lt;=14,"Short",L878&lt;=30,"Medium",L878&lt;=45,"Long",L878&lt;=60,"Very Long")</f>
        <v>Long</v>
      </c>
      <c r="N878" s="2" t="s">
        <v>13</v>
      </c>
      <c r="O878" s="3">
        <v>7.1</v>
      </c>
    </row>
    <row r="879" spans="1:15" x14ac:dyDescent="0.25">
      <c r="A879" s="4" t="s">
        <v>938</v>
      </c>
      <c r="B879" s="5">
        <v>62</v>
      </c>
      <c r="C879" t="str" cm="1">
        <f t="array" ref="C879">_xlfn.IFS(B879&lt;=30,"Young",B879&lt;=50,"Middle-aged",B879&gt;50,"Older")</f>
        <v>Older</v>
      </c>
      <c r="D879" s="5" t="s">
        <v>19</v>
      </c>
      <c r="E879" s="5" t="s">
        <v>11</v>
      </c>
      <c r="F879" s="5">
        <f t="shared" si="55"/>
        <v>0</v>
      </c>
      <c r="G879" s="5">
        <f t="shared" si="52"/>
        <v>0</v>
      </c>
      <c r="H879" s="5">
        <f t="shared" si="53"/>
        <v>0</v>
      </c>
      <c r="I879" s="5">
        <f t="shared" si="54"/>
        <v>0</v>
      </c>
      <c r="J879" s="5">
        <v>250</v>
      </c>
      <c r="K879" s="5" t="s">
        <v>51</v>
      </c>
      <c r="L879" s="5">
        <v>48</v>
      </c>
      <c r="M879" t="str" cm="1">
        <f t="array" ref="M879">_xlfn.IFS(L879&lt;=14,"Short",L879&lt;=30,"Medium",L879&lt;=45,"Long",L879&lt;=60,"Very Long")</f>
        <v>Very Long</v>
      </c>
      <c r="N879" s="5" t="s">
        <v>41</v>
      </c>
      <c r="O879" s="6">
        <v>7.8</v>
      </c>
    </row>
    <row r="880" spans="1:15" x14ac:dyDescent="0.25">
      <c r="A880" s="1" t="s">
        <v>939</v>
      </c>
      <c r="B880" s="2">
        <v>30</v>
      </c>
      <c r="C880" t="str" cm="1">
        <f t="array" ref="C880">_xlfn.IFS(B880&lt;=30,"Young",B880&lt;=50,"Middle-aged",B880&gt;50,"Older")</f>
        <v>Young</v>
      </c>
      <c r="D880" s="2" t="s">
        <v>19</v>
      </c>
      <c r="E880" s="2" t="s">
        <v>20</v>
      </c>
      <c r="F880" s="2">
        <f t="shared" si="55"/>
        <v>0</v>
      </c>
      <c r="G880" s="2">
        <f t="shared" si="52"/>
        <v>1</v>
      </c>
      <c r="H880" s="2">
        <f t="shared" si="53"/>
        <v>0</v>
      </c>
      <c r="I880" s="2">
        <f t="shared" si="54"/>
        <v>0</v>
      </c>
      <c r="J880" s="2">
        <v>250</v>
      </c>
      <c r="K880" s="2" t="s">
        <v>55</v>
      </c>
      <c r="L880" s="2">
        <v>23</v>
      </c>
      <c r="M880" t="str" cm="1">
        <f t="array" ref="M880">_xlfn.IFS(L880&lt;=14,"Short",L880&lt;=30,"Medium",L880&lt;=45,"Long",L880&lt;=60,"Very Long")</f>
        <v>Medium</v>
      </c>
      <c r="N880" s="2" t="s">
        <v>78</v>
      </c>
      <c r="O880" s="3">
        <v>3.2</v>
      </c>
    </row>
    <row r="881" spans="1:15" x14ac:dyDescent="0.25">
      <c r="A881" s="4" t="s">
        <v>940</v>
      </c>
      <c r="B881" s="5">
        <v>67</v>
      </c>
      <c r="C881" t="str" cm="1">
        <f t="array" ref="C881">_xlfn.IFS(B881&lt;=30,"Young",B881&lt;=50,"Middle-aged",B881&gt;50,"Older")</f>
        <v>Older</v>
      </c>
      <c r="D881" s="5" t="s">
        <v>10</v>
      </c>
      <c r="E881" s="5" t="s">
        <v>24</v>
      </c>
      <c r="F881" s="5">
        <f t="shared" si="55"/>
        <v>0</v>
      </c>
      <c r="G881" s="5">
        <f t="shared" si="52"/>
        <v>0</v>
      </c>
      <c r="H881" s="5">
        <f t="shared" si="53"/>
        <v>1</v>
      </c>
      <c r="I881" s="5">
        <f t="shared" si="54"/>
        <v>0</v>
      </c>
      <c r="J881" s="5">
        <v>850</v>
      </c>
      <c r="K881" s="5" t="s">
        <v>59</v>
      </c>
      <c r="L881" s="5">
        <v>16</v>
      </c>
      <c r="M881" t="str" cm="1">
        <f t="array" ref="M881">_xlfn.IFS(L881&lt;=14,"Short",L881&lt;=30,"Medium",L881&lt;=45,"Long",L881&lt;=60,"Very Long")</f>
        <v>Medium</v>
      </c>
      <c r="N881" s="5" t="s">
        <v>74</v>
      </c>
      <c r="O881" s="6">
        <v>6.6</v>
      </c>
    </row>
    <row r="882" spans="1:15" x14ac:dyDescent="0.25">
      <c r="A882" s="1" t="s">
        <v>941</v>
      </c>
      <c r="B882" s="2">
        <v>45</v>
      </c>
      <c r="C882" t="str" cm="1">
        <f t="array" ref="C882">_xlfn.IFS(B882&lt;=30,"Young",B882&lt;=50,"Middle-aged",B882&gt;50,"Older")</f>
        <v>Middle-aged</v>
      </c>
      <c r="D882" s="2" t="s">
        <v>10</v>
      </c>
      <c r="E882" s="2" t="s">
        <v>33</v>
      </c>
      <c r="F882" s="2">
        <f t="shared" si="55"/>
        <v>0</v>
      </c>
      <c r="G882" s="2">
        <f t="shared" si="52"/>
        <v>0</v>
      </c>
      <c r="H882" s="2">
        <f t="shared" si="53"/>
        <v>0</v>
      </c>
      <c r="I882" s="2">
        <f t="shared" si="54"/>
        <v>1</v>
      </c>
      <c r="J882" s="2">
        <v>250</v>
      </c>
      <c r="K882" s="2" t="s">
        <v>49</v>
      </c>
      <c r="L882" s="2">
        <v>12</v>
      </c>
      <c r="M882" t="str" cm="1">
        <f t="array" ref="M882">_xlfn.IFS(L882&lt;=14,"Short",L882&lt;=30,"Medium",L882&lt;=45,"Long",L882&lt;=60,"Very Long")</f>
        <v>Short</v>
      </c>
      <c r="N882" s="2" t="s">
        <v>13</v>
      </c>
      <c r="O882" s="3">
        <v>7.4</v>
      </c>
    </row>
    <row r="883" spans="1:15" x14ac:dyDescent="0.25">
      <c r="A883" s="4" t="s">
        <v>942</v>
      </c>
      <c r="B883" s="5">
        <v>79</v>
      </c>
      <c r="C883" t="str" cm="1">
        <f t="array" ref="C883">_xlfn.IFS(B883&lt;=30,"Young",B883&lt;=50,"Middle-aged",B883&gt;50,"Older")</f>
        <v>Older</v>
      </c>
      <c r="D883" s="5" t="s">
        <v>10</v>
      </c>
      <c r="E883" s="5" t="s">
        <v>20</v>
      </c>
      <c r="F883" s="5">
        <f t="shared" si="55"/>
        <v>0</v>
      </c>
      <c r="G883" s="5">
        <f t="shared" si="52"/>
        <v>1</v>
      </c>
      <c r="H883" s="5">
        <f t="shared" si="53"/>
        <v>0</v>
      </c>
      <c r="I883" s="5">
        <f t="shared" si="54"/>
        <v>0</v>
      </c>
      <c r="J883" s="5">
        <v>850</v>
      </c>
      <c r="K883" s="5" t="s">
        <v>21</v>
      </c>
      <c r="L883" s="5">
        <v>12</v>
      </c>
      <c r="M883" t="str" cm="1">
        <f t="array" ref="M883">_xlfn.IFS(L883&lt;=14,"Short",L883&lt;=30,"Medium",L883&lt;=45,"Long",L883&lt;=60,"Very Long")</f>
        <v>Short</v>
      </c>
      <c r="N883" s="5" t="s">
        <v>41</v>
      </c>
      <c r="O883" s="6">
        <v>5.3</v>
      </c>
    </row>
    <row r="884" spans="1:15" x14ac:dyDescent="0.25">
      <c r="A884" s="1" t="s">
        <v>943</v>
      </c>
      <c r="B884" s="2">
        <v>75</v>
      </c>
      <c r="C884" t="str" cm="1">
        <f t="array" ref="C884">_xlfn.IFS(B884&lt;=30,"Young",B884&lt;=50,"Middle-aged",B884&gt;50,"Older")</f>
        <v>Older</v>
      </c>
      <c r="D884" s="2" t="s">
        <v>10</v>
      </c>
      <c r="E884" s="2" t="s">
        <v>20</v>
      </c>
      <c r="F884" s="2">
        <f t="shared" si="55"/>
        <v>0</v>
      </c>
      <c r="G884" s="2">
        <f t="shared" si="52"/>
        <v>1</v>
      </c>
      <c r="H884" s="2">
        <f t="shared" si="53"/>
        <v>0</v>
      </c>
      <c r="I884" s="2">
        <f t="shared" si="54"/>
        <v>0</v>
      </c>
      <c r="J884" s="2">
        <v>500</v>
      </c>
      <c r="K884" s="2" t="s">
        <v>37</v>
      </c>
      <c r="L884" s="2">
        <v>57</v>
      </c>
      <c r="M884" t="str" cm="1">
        <f t="array" ref="M884">_xlfn.IFS(L884&lt;=14,"Short",L884&lt;=30,"Medium",L884&lt;=45,"Long",L884&lt;=60,"Very Long")</f>
        <v>Very Long</v>
      </c>
      <c r="N884" s="2" t="s">
        <v>173</v>
      </c>
      <c r="O884" s="3">
        <v>7.6</v>
      </c>
    </row>
    <row r="885" spans="1:15" x14ac:dyDescent="0.25">
      <c r="A885" s="4" t="s">
        <v>944</v>
      </c>
      <c r="B885" s="5">
        <v>37</v>
      </c>
      <c r="C885" t="str" cm="1">
        <f t="array" ref="C885">_xlfn.IFS(B885&lt;=30,"Young",B885&lt;=50,"Middle-aged",B885&gt;50,"Older")</f>
        <v>Middle-aged</v>
      </c>
      <c r="D885" s="5" t="s">
        <v>19</v>
      </c>
      <c r="E885" s="5" t="s">
        <v>11</v>
      </c>
      <c r="F885" s="5">
        <f t="shared" si="55"/>
        <v>0</v>
      </c>
      <c r="G885" s="5">
        <f t="shared" si="52"/>
        <v>0</v>
      </c>
      <c r="H885" s="5">
        <f t="shared" si="53"/>
        <v>0</v>
      </c>
      <c r="I885" s="5">
        <f t="shared" si="54"/>
        <v>0</v>
      </c>
      <c r="J885" s="5">
        <v>250</v>
      </c>
      <c r="K885" s="5" t="s">
        <v>84</v>
      </c>
      <c r="L885" s="5">
        <v>49</v>
      </c>
      <c r="M885" t="str" cm="1">
        <f t="array" ref="M885">_xlfn.IFS(L885&lt;=14,"Short",L885&lt;=30,"Medium",L885&lt;=45,"Long",L885&lt;=60,"Very Long")</f>
        <v>Very Long</v>
      </c>
      <c r="N885" s="5" t="s">
        <v>85</v>
      </c>
      <c r="O885" s="6">
        <v>6.7</v>
      </c>
    </row>
    <row r="886" spans="1:15" x14ac:dyDescent="0.25">
      <c r="A886" s="1" t="s">
        <v>945</v>
      </c>
      <c r="B886" s="2">
        <v>45</v>
      </c>
      <c r="C886" t="str" cm="1">
        <f t="array" ref="C886">_xlfn.IFS(B886&lt;=30,"Young",B886&lt;=50,"Middle-aged",B886&gt;50,"Older")</f>
        <v>Middle-aged</v>
      </c>
      <c r="D886" s="2" t="s">
        <v>10</v>
      </c>
      <c r="E886" s="2" t="s">
        <v>20</v>
      </c>
      <c r="F886" s="2">
        <f t="shared" si="55"/>
        <v>0</v>
      </c>
      <c r="G886" s="2">
        <f t="shared" si="52"/>
        <v>1</v>
      </c>
      <c r="H886" s="2">
        <f t="shared" si="53"/>
        <v>0</v>
      </c>
      <c r="I886" s="2">
        <f t="shared" si="54"/>
        <v>0</v>
      </c>
      <c r="J886" s="2">
        <v>100</v>
      </c>
      <c r="K886" s="2" t="s">
        <v>21</v>
      </c>
      <c r="L886" s="2">
        <v>16</v>
      </c>
      <c r="M886" t="str" cm="1">
        <f t="array" ref="M886">_xlfn.IFS(L886&lt;=14,"Short",L886&lt;=30,"Medium",L886&lt;=45,"Long",L886&lt;=60,"Very Long")</f>
        <v>Medium</v>
      </c>
      <c r="N886" s="2" t="s">
        <v>28</v>
      </c>
      <c r="O886" s="3">
        <v>9.6</v>
      </c>
    </row>
    <row r="887" spans="1:15" x14ac:dyDescent="0.25">
      <c r="A887" s="4" t="s">
        <v>946</v>
      </c>
      <c r="B887" s="5">
        <v>25</v>
      </c>
      <c r="C887" t="str" cm="1">
        <f t="array" ref="C887">_xlfn.IFS(B887&lt;=30,"Young",B887&lt;=50,"Middle-aged",B887&gt;50,"Older")</f>
        <v>Young</v>
      </c>
      <c r="D887" s="5" t="s">
        <v>19</v>
      </c>
      <c r="E887" s="5" t="s">
        <v>24</v>
      </c>
      <c r="F887" s="5">
        <f t="shared" si="55"/>
        <v>0</v>
      </c>
      <c r="G887" s="5">
        <f t="shared" si="52"/>
        <v>0</v>
      </c>
      <c r="H887" s="5">
        <f t="shared" si="53"/>
        <v>1</v>
      </c>
      <c r="I887" s="5">
        <f t="shared" si="54"/>
        <v>0</v>
      </c>
      <c r="J887" s="5">
        <v>100</v>
      </c>
      <c r="K887" s="5" t="s">
        <v>25</v>
      </c>
      <c r="L887" s="5">
        <v>52</v>
      </c>
      <c r="M887" t="str" cm="1">
        <f t="array" ref="M887">_xlfn.IFS(L887&lt;=14,"Short",L887&lt;=30,"Medium",L887&lt;=45,"Long",L887&lt;=60,"Very Long")</f>
        <v>Very Long</v>
      </c>
      <c r="N887" s="5" t="s">
        <v>26</v>
      </c>
      <c r="O887" s="6">
        <v>9.4</v>
      </c>
    </row>
    <row r="888" spans="1:15" x14ac:dyDescent="0.25">
      <c r="A888" s="1" t="s">
        <v>947</v>
      </c>
      <c r="B888" s="2">
        <v>78</v>
      </c>
      <c r="C888" t="str" cm="1">
        <f t="array" ref="C888">_xlfn.IFS(B888&lt;=30,"Young",B888&lt;=50,"Middle-aged",B888&gt;50,"Older")</f>
        <v>Older</v>
      </c>
      <c r="D888" s="2" t="s">
        <v>10</v>
      </c>
      <c r="E888" s="2" t="s">
        <v>24</v>
      </c>
      <c r="F888" s="2">
        <f t="shared" si="55"/>
        <v>0</v>
      </c>
      <c r="G888" s="2">
        <f t="shared" si="52"/>
        <v>0</v>
      </c>
      <c r="H888" s="2">
        <f t="shared" si="53"/>
        <v>1</v>
      </c>
      <c r="I888" s="2">
        <f t="shared" si="54"/>
        <v>0</v>
      </c>
      <c r="J888" s="2">
        <v>50</v>
      </c>
      <c r="K888" s="2" t="s">
        <v>25</v>
      </c>
      <c r="L888" s="2">
        <v>37</v>
      </c>
      <c r="M888" t="str" cm="1">
        <f t="array" ref="M888">_xlfn.IFS(L888&lt;=14,"Short",L888&lt;=30,"Medium",L888&lt;=45,"Long",L888&lt;=60,"Very Long")</f>
        <v>Long</v>
      </c>
      <c r="N888" s="2" t="s">
        <v>26</v>
      </c>
      <c r="O888" s="3">
        <v>6.3</v>
      </c>
    </row>
    <row r="889" spans="1:15" x14ac:dyDescent="0.25">
      <c r="A889" s="4" t="s">
        <v>948</v>
      </c>
      <c r="B889" s="5">
        <v>58</v>
      </c>
      <c r="C889" t="str" cm="1">
        <f t="array" ref="C889">_xlfn.IFS(B889&lt;=30,"Young",B889&lt;=50,"Middle-aged",B889&gt;50,"Older")</f>
        <v>Older</v>
      </c>
      <c r="D889" s="5" t="s">
        <v>10</v>
      </c>
      <c r="E889" s="5" t="s">
        <v>15</v>
      </c>
      <c r="F889" s="5">
        <f t="shared" si="55"/>
        <v>1</v>
      </c>
      <c r="G889" s="5">
        <f t="shared" si="52"/>
        <v>0</v>
      </c>
      <c r="H889" s="5">
        <f t="shared" si="53"/>
        <v>0</v>
      </c>
      <c r="I889" s="5">
        <f t="shared" si="54"/>
        <v>0</v>
      </c>
      <c r="J889" s="5">
        <v>250</v>
      </c>
      <c r="K889" s="5" t="s">
        <v>44</v>
      </c>
      <c r="L889" s="5">
        <v>49</v>
      </c>
      <c r="M889" t="str" cm="1">
        <f t="array" ref="M889">_xlfn.IFS(L889&lt;=14,"Short",L889&lt;=30,"Medium",L889&lt;=45,"Long",L889&lt;=60,"Very Long")</f>
        <v>Very Long</v>
      </c>
      <c r="N889" s="5" t="s">
        <v>95</v>
      </c>
      <c r="O889" s="6">
        <v>6.8</v>
      </c>
    </row>
    <row r="890" spans="1:15" x14ac:dyDescent="0.25">
      <c r="A890" s="1" t="s">
        <v>949</v>
      </c>
      <c r="B890" s="2">
        <v>56</v>
      </c>
      <c r="C890" t="str" cm="1">
        <f t="array" ref="C890">_xlfn.IFS(B890&lt;=30,"Young",B890&lt;=50,"Middle-aged",B890&gt;50,"Older")</f>
        <v>Older</v>
      </c>
      <c r="D890" s="2" t="s">
        <v>10</v>
      </c>
      <c r="E890" s="2" t="s">
        <v>24</v>
      </c>
      <c r="F890" s="2">
        <f t="shared" si="55"/>
        <v>0</v>
      </c>
      <c r="G890" s="2">
        <f t="shared" si="52"/>
        <v>0</v>
      </c>
      <c r="H890" s="2">
        <f t="shared" si="53"/>
        <v>1</v>
      </c>
      <c r="I890" s="2">
        <f t="shared" si="54"/>
        <v>0</v>
      </c>
      <c r="J890" s="2">
        <v>100</v>
      </c>
      <c r="K890" s="2" t="s">
        <v>39</v>
      </c>
      <c r="L890" s="2">
        <v>30</v>
      </c>
      <c r="M890" t="str" cm="1">
        <f t="array" ref="M890">_xlfn.IFS(L890&lt;=14,"Short",L890&lt;=30,"Medium",L890&lt;=45,"Long",L890&lt;=60,"Very Long")</f>
        <v>Medium</v>
      </c>
      <c r="N890" s="2" t="s">
        <v>13</v>
      </c>
      <c r="O890" s="3">
        <v>6.9</v>
      </c>
    </row>
    <row r="891" spans="1:15" x14ac:dyDescent="0.25">
      <c r="A891" s="4" t="s">
        <v>950</v>
      </c>
      <c r="B891" s="5">
        <v>18</v>
      </c>
      <c r="C891" t="str" cm="1">
        <f t="array" ref="C891">_xlfn.IFS(B891&lt;=30,"Young",B891&lt;=50,"Middle-aged",B891&gt;50,"Older")</f>
        <v>Young</v>
      </c>
      <c r="D891" s="5" t="s">
        <v>19</v>
      </c>
      <c r="E891" s="5" t="s">
        <v>20</v>
      </c>
      <c r="F891" s="5">
        <f t="shared" si="55"/>
        <v>0</v>
      </c>
      <c r="G891" s="5">
        <f t="shared" si="52"/>
        <v>1</v>
      </c>
      <c r="H891" s="5">
        <f t="shared" si="53"/>
        <v>0</v>
      </c>
      <c r="I891" s="5">
        <f t="shared" si="54"/>
        <v>0</v>
      </c>
      <c r="J891" s="5">
        <v>100</v>
      </c>
      <c r="K891" s="5" t="s">
        <v>55</v>
      </c>
      <c r="L891" s="5">
        <v>43</v>
      </c>
      <c r="M891" t="str" cm="1">
        <f t="array" ref="M891">_xlfn.IFS(L891&lt;=14,"Short",L891&lt;=30,"Medium",L891&lt;=45,"Long",L891&lt;=60,"Very Long")</f>
        <v>Long</v>
      </c>
      <c r="N891" s="5" t="s">
        <v>148</v>
      </c>
      <c r="O891" s="6">
        <v>6.3</v>
      </c>
    </row>
    <row r="892" spans="1:15" x14ac:dyDescent="0.25">
      <c r="A892" s="1" t="s">
        <v>951</v>
      </c>
      <c r="B892" s="2">
        <v>20</v>
      </c>
      <c r="C892" t="str" cm="1">
        <f t="array" ref="C892">_xlfn.IFS(B892&lt;=30,"Young",B892&lt;=50,"Middle-aged",B892&gt;50,"Older")</f>
        <v>Young</v>
      </c>
      <c r="D892" s="2" t="s">
        <v>10</v>
      </c>
      <c r="E892" s="2" t="s">
        <v>24</v>
      </c>
      <c r="F892" s="2">
        <f t="shared" si="55"/>
        <v>0</v>
      </c>
      <c r="G892" s="2">
        <f t="shared" si="52"/>
        <v>0</v>
      </c>
      <c r="H892" s="2">
        <f t="shared" si="53"/>
        <v>1</v>
      </c>
      <c r="I892" s="2">
        <f t="shared" si="54"/>
        <v>0</v>
      </c>
      <c r="J892" s="2">
        <v>250</v>
      </c>
      <c r="K892" s="2" t="s">
        <v>25</v>
      </c>
      <c r="L892" s="2">
        <v>32</v>
      </c>
      <c r="M892" t="str" cm="1">
        <f t="array" ref="M892">_xlfn.IFS(L892&lt;=14,"Short",L892&lt;=30,"Medium",L892&lt;=45,"Long",L892&lt;=60,"Very Long")</f>
        <v>Long</v>
      </c>
      <c r="N892" s="2" t="s">
        <v>13</v>
      </c>
      <c r="O892" s="3">
        <v>7.3</v>
      </c>
    </row>
    <row r="893" spans="1:15" x14ac:dyDescent="0.25">
      <c r="A893" s="4" t="s">
        <v>952</v>
      </c>
      <c r="B893" s="5">
        <v>30</v>
      </c>
      <c r="C893" t="str" cm="1">
        <f t="array" ref="C893">_xlfn.IFS(B893&lt;=30,"Young",B893&lt;=50,"Middle-aged",B893&gt;50,"Older")</f>
        <v>Young</v>
      </c>
      <c r="D893" s="5" t="s">
        <v>19</v>
      </c>
      <c r="E893" s="5" t="s">
        <v>11</v>
      </c>
      <c r="F893" s="5">
        <f t="shared" si="55"/>
        <v>0</v>
      </c>
      <c r="G893" s="5">
        <f t="shared" si="52"/>
        <v>0</v>
      </c>
      <c r="H893" s="5">
        <f t="shared" si="53"/>
        <v>0</v>
      </c>
      <c r="I893" s="5">
        <f t="shared" si="54"/>
        <v>0</v>
      </c>
      <c r="J893" s="5">
        <v>500</v>
      </c>
      <c r="K893" s="5" t="s">
        <v>12</v>
      </c>
      <c r="L893" s="5">
        <v>9</v>
      </c>
      <c r="M893" t="str" cm="1">
        <f t="array" ref="M893">_xlfn.IFS(L893&lt;=14,"Short",L893&lt;=30,"Medium",L893&lt;=45,"Long",L893&lt;=60,"Very Long")</f>
        <v>Short</v>
      </c>
      <c r="N893" s="5" t="s">
        <v>30</v>
      </c>
      <c r="O893" s="6">
        <v>5.9</v>
      </c>
    </row>
    <row r="894" spans="1:15" x14ac:dyDescent="0.25">
      <c r="A894" s="1" t="s">
        <v>953</v>
      </c>
      <c r="B894" s="2">
        <v>45</v>
      </c>
      <c r="C894" t="str" cm="1">
        <f t="array" ref="C894">_xlfn.IFS(B894&lt;=30,"Young",B894&lt;=50,"Middle-aged",B894&gt;50,"Older")</f>
        <v>Middle-aged</v>
      </c>
      <c r="D894" s="2" t="s">
        <v>19</v>
      </c>
      <c r="E894" s="2" t="s">
        <v>15</v>
      </c>
      <c r="F894" s="2">
        <f t="shared" si="55"/>
        <v>1</v>
      </c>
      <c r="G894" s="2">
        <f t="shared" si="52"/>
        <v>0</v>
      </c>
      <c r="H894" s="2">
        <f t="shared" si="53"/>
        <v>0</v>
      </c>
      <c r="I894" s="2">
        <f t="shared" si="54"/>
        <v>0</v>
      </c>
      <c r="J894" s="2">
        <v>500</v>
      </c>
      <c r="K894" s="2" t="s">
        <v>44</v>
      </c>
      <c r="L894" s="2">
        <v>12</v>
      </c>
      <c r="M894" t="str" cm="1">
        <f t="array" ref="M894">_xlfn.IFS(L894&lt;=14,"Short",L894&lt;=30,"Medium",L894&lt;=45,"Long",L894&lt;=60,"Very Long")</f>
        <v>Short</v>
      </c>
      <c r="N894" s="2" t="s">
        <v>95</v>
      </c>
      <c r="O894" s="3">
        <v>5.3</v>
      </c>
    </row>
    <row r="895" spans="1:15" x14ac:dyDescent="0.25">
      <c r="A895" s="4" t="s">
        <v>954</v>
      </c>
      <c r="B895" s="5">
        <v>79</v>
      </c>
      <c r="C895" t="str" cm="1">
        <f t="array" ref="C895">_xlfn.IFS(B895&lt;=30,"Young",B895&lt;=50,"Middle-aged",B895&gt;50,"Older")</f>
        <v>Older</v>
      </c>
      <c r="D895" s="5" t="s">
        <v>10</v>
      </c>
      <c r="E895" s="5" t="s">
        <v>20</v>
      </c>
      <c r="F895" s="5">
        <f t="shared" si="55"/>
        <v>0</v>
      </c>
      <c r="G895" s="5">
        <f t="shared" si="52"/>
        <v>1</v>
      </c>
      <c r="H895" s="5">
        <f t="shared" si="53"/>
        <v>0</v>
      </c>
      <c r="I895" s="5">
        <f t="shared" si="54"/>
        <v>0</v>
      </c>
      <c r="J895" s="5">
        <v>50</v>
      </c>
      <c r="K895" s="5" t="s">
        <v>55</v>
      </c>
      <c r="L895" s="5">
        <v>29</v>
      </c>
      <c r="M895" t="str" cm="1">
        <f t="array" ref="M895">_xlfn.IFS(L895&lt;=14,"Short",L895&lt;=30,"Medium",L895&lt;=45,"Long",L895&lt;=60,"Very Long")</f>
        <v>Medium</v>
      </c>
      <c r="N895" s="5" t="s">
        <v>22</v>
      </c>
      <c r="O895" s="6">
        <v>7.9</v>
      </c>
    </row>
    <row r="896" spans="1:15" x14ac:dyDescent="0.25">
      <c r="A896" s="1" t="s">
        <v>955</v>
      </c>
      <c r="B896" s="2">
        <v>74</v>
      </c>
      <c r="C896" t="str" cm="1">
        <f t="array" ref="C896">_xlfn.IFS(B896&lt;=30,"Young",B896&lt;=50,"Middle-aged",B896&gt;50,"Older")</f>
        <v>Older</v>
      </c>
      <c r="D896" s="2" t="s">
        <v>10</v>
      </c>
      <c r="E896" s="2" t="s">
        <v>15</v>
      </c>
      <c r="F896" s="2">
        <f t="shared" si="55"/>
        <v>1</v>
      </c>
      <c r="G896" s="2">
        <f t="shared" si="52"/>
        <v>0</v>
      </c>
      <c r="H896" s="2">
        <f t="shared" si="53"/>
        <v>0</v>
      </c>
      <c r="I896" s="2">
        <f t="shared" si="54"/>
        <v>0</v>
      </c>
      <c r="J896" s="2">
        <v>50</v>
      </c>
      <c r="K896" s="2" t="s">
        <v>44</v>
      </c>
      <c r="L896" s="2">
        <v>31</v>
      </c>
      <c r="M896" t="str" cm="1">
        <f t="array" ref="M896">_xlfn.IFS(L896&lt;=14,"Short",L896&lt;=30,"Medium",L896&lt;=45,"Long",L896&lt;=60,"Very Long")</f>
        <v>Long</v>
      </c>
      <c r="N896" s="2" t="s">
        <v>95</v>
      </c>
      <c r="O896" s="3">
        <v>7.9</v>
      </c>
    </row>
    <row r="897" spans="1:15" x14ac:dyDescent="0.25">
      <c r="A897" s="4" t="s">
        <v>956</v>
      </c>
      <c r="B897" s="5">
        <v>77</v>
      </c>
      <c r="C897" t="str" cm="1">
        <f t="array" ref="C897">_xlfn.IFS(B897&lt;=30,"Young",B897&lt;=50,"Middle-aged",B897&gt;50,"Older")</f>
        <v>Older</v>
      </c>
      <c r="D897" s="5" t="s">
        <v>10</v>
      </c>
      <c r="E897" s="5" t="s">
        <v>20</v>
      </c>
      <c r="F897" s="5">
        <f t="shared" si="55"/>
        <v>0</v>
      </c>
      <c r="G897" s="5">
        <f t="shared" si="52"/>
        <v>1</v>
      </c>
      <c r="H897" s="5">
        <f t="shared" si="53"/>
        <v>0</v>
      </c>
      <c r="I897" s="5">
        <f t="shared" si="54"/>
        <v>0</v>
      </c>
      <c r="J897" s="5">
        <v>250</v>
      </c>
      <c r="K897" s="5" t="s">
        <v>21</v>
      </c>
      <c r="L897" s="5">
        <v>50</v>
      </c>
      <c r="M897" t="str" cm="1">
        <f t="array" ref="M897">_xlfn.IFS(L897&lt;=14,"Short",L897&lt;=30,"Medium",L897&lt;=45,"Long",L897&lt;=60,"Very Long")</f>
        <v>Very Long</v>
      </c>
      <c r="N897" s="5" t="s">
        <v>22</v>
      </c>
      <c r="O897" s="6">
        <v>5.8</v>
      </c>
    </row>
    <row r="898" spans="1:15" x14ac:dyDescent="0.25">
      <c r="A898" s="1" t="s">
        <v>957</v>
      </c>
      <c r="B898" s="2">
        <v>66</v>
      </c>
      <c r="C898" t="str" cm="1">
        <f t="array" ref="C898">_xlfn.IFS(B898&lt;=30,"Young",B898&lt;=50,"Middle-aged",B898&gt;50,"Older")</f>
        <v>Older</v>
      </c>
      <c r="D898" s="2" t="s">
        <v>19</v>
      </c>
      <c r="E898" s="2" t="s">
        <v>11</v>
      </c>
      <c r="F898" s="2">
        <f t="shared" si="55"/>
        <v>0</v>
      </c>
      <c r="G898" s="2">
        <f t="shared" ref="G898:G961" si="56">IF($E898="Depression",1,0)</f>
        <v>0</v>
      </c>
      <c r="H898" s="2">
        <f t="shared" ref="H898:H961" si="57">IF($E898="Diabetes",1,0)</f>
        <v>0</v>
      </c>
      <c r="I898" s="2">
        <f t="shared" ref="I898:I961" si="58">IF($E898="Pain relief",1,0)</f>
        <v>0</v>
      </c>
      <c r="J898" s="2">
        <v>250</v>
      </c>
      <c r="K898" s="2" t="s">
        <v>51</v>
      </c>
      <c r="L898" s="2">
        <v>27</v>
      </c>
      <c r="M898" t="str" cm="1">
        <f t="array" ref="M898">_xlfn.IFS(L898&lt;=14,"Short",L898&lt;=30,"Medium",L898&lt;=45,"Long",L898&lt;=60,"Very Long")</f>
        <v>Medium</v>
      </c>
      <c r="N898" s="2" t="s">
        <v>13</v>
      </c>
      <c r="O898" s="3">
        <v>8.3000000000000007</v>
      </c>
    </row>
    <row r="899" spans="1:15" x14ac:dyDescent="0.25">
      <c r="A899" s="4" t="s">
        <v>958</v>
      </c>
      <c r="B899" s="5">
        <v>42</v>
      </c>
      <c r="C899" t="str" cm="1">
        <f t="array" ref="C899">_xlfn.IFS(B899&lt;=30,"Young",B899&lt;=50,"Middle-aged",B899&gt;50,"Older")</f>
        <v>Middle-aged</v>
      </c>
      <c r="D899" s="5" t="s">
        <v>10</v>
      </c>
      <c r="E899" s="5" t="s">
        <v>15</v>
      </c>
      <c r="F899" s="5">
        <f t="shared" ref="F899:F962" si="59">IF($E899="Hypertension",1,0)</f>
        <v>1</v>
      </c>
      <c r="G899" s="5">
        <f t="shared" si="56"/>
        <v>0</v>
      </c>
      <c r="H899" s="5">
        <f t="shared" si="57"/>
        <v>0</v>
      </c>
      <c r="I899" s="5">
        <f t="shared" si="58"/>
        <v>0</v>
      </c>
      <c r="J899" s="5">
        <v>100</v>
      </c>
      <c r="K899" s="5" t="s">
        <v>44</v>
      </c>
      <c r="L899" s="5">
        <v>34</v>
      </c>
      <c r="M899" t="str" cm="1">
        <f t="array" ref="M899">_xlfn.IFS(L899&lt;=14,"Short",L899&lt;=30,"Medium",L899&lt;=45,"Long",L899&lt;=60,"Very Long")</f>
        <v>Long</v>
      </c>
      <c r="N899" s="5" t="s">
        <v>30</v>
      </c>
      <c r="O899" s="6">
        <v>6.1</v>
      </c>
    </row>
    <row r="900" spans="1:15" x14ac:dyDescent="0.25">
      <c r="A900" s="1" t="s">
        <v>959</v>
      </c>
      <c r="B900" s="2">
        <v>73</v>
      </c>
      <c r="C900" t="str" cm="1">
        <f t="array" ref="C900">_xlfn.IFS(B900&lt;=30,"Young",B900&lt;=50,"Middle-aged",B900&gt;50,"Older")</f>
        <v>Older</v>
      </c>
      <c r="D900" s="2" t="s">
        <v>19</v>
      </c>
      <c r="E900" s="2" t="s">
        <v>33</v>
      </c>
      <c r="F900" s="2">
        <f t="shared" si="59"/>
        <v>0</v>
      </c>
      <c r="G900" s="2">
        <f t="shared" si="56"/>
        <v>0</v>
      </c>
      <c r="H900" s="2">
        <f t="shared" si="57"/>
        <v>0</v>
      </c>
      <c r="I900" s="2">
        <f t="shared" si="58"/>
        <v>1</v>
      </c>
      <c r="J900" s="2">
        <v>850</v>
      </c>
      <c r="K900" s="2" t="s">
        <v>47</v>
      </c>
      <c r="L900" s="2">
        <v>49</v>
      </c>
      <c r="M900" t="str" cm="1">
        <f t="array" ref="M900">_xlfn.IFS(L900&lt;=14,"Short",L900&lt;=30,"Medium",L900&lt;=45,"Long",L900&lt;=60,"Very Long")</f>
        <v>Very Long</v>
      </c>
      <c r="N900" s="2" t="s">
        <v>225</v>
      </c>
      <c r="O900" s="3">
        <v>7.4</v>
      </c>
    </row>
    <row r="901" spans="1:15" x14ac:dyDescent="0.25">
      <c r="A901" s="4" t="s">
        <v>960</v>
      </c>
      <c r="B901" s="5">
        <v>50</v>
      </c>
      <c r="C901" t="str" cm="1">
        <f t="array" ref="C901">_xlfn.IFS(B901&lt;=30,"Young",B901&lt;=50,"Middle-aged",B901&gt;50,"Older")</f>
        <v>Middle-aged</v>
      </c>
      <c r="D901" s="5" t="s">
        <v>19</v>
      </c>
      <c r="E901" s="5" t="s">
        <v>20</v>
      </c>
      <c r="F901" s="5">
        <f t="shared" si="59"/>
        <v>0</v>
      </c>
      <c r="G901" s="5">
        <f t="shared" si="56"/>
        <v>1</v>
      </c>
      <c r="H901" s="5">
        <f t="shared" si="57"/>
        <v>0</v>
      </c>
      <c r="I901" s="5">
        <f t="shared" si="58"/>
        <v>0</v>
      </c>
      <c r="J901" s="5">
        <v>250</v>
      </c>
      <c r="K901" s="5" t="s">
        <v>55</v>
      </c>
      <c r="L901" s="5">
        <v>51</v>
      </c>
      <c r="M901" t="str" cm="1">
        <f t="array" ref="M901">_xlfn.IFS(L901&lt;=14,"Short",L901&lt;=30,"Medium",L901&lt;=45,"Long",L901&lt;=60,"Very Long")</f>
        <v>Very Long</v>
      </c>
      <c r="N901" s="5" t="s">
        <v>148</v>
      </c>
      <c r="O901" s="6">
        <v>8.1999999999999993</v>
      </c>
    </row>
    <row r="902" spans="1:15" x14ac:dyDescent="0.25">
      <c r="A902" s="1" t="s">
        <v>961</v>
      </c>
      <c r="B902" s="2">
        <v>55</v>
      </c>
      <c r="C902" t="str" cm="1">
        <f t="array" ref="C902">_xlfn.IFS(B902&lt;=30,"Young",B902&lt;=50,"Middle-aged",B902&gt;50,"Older")</f>
        <v>Older</v>
      </c>
      <c r="D902" s="2" t="s">
        <v>10</v>
      </c>
      <c r="E902" s="2" t="s">
        <v>33</v>
      </c>
      <c r="F902" s="2">
        <f t="shared" si="59"/>
        <v>0</v>
      </c>
      <c r="G902" s="2">
        <f t="shared" si="56"/>
        <v>0</v>
      </c>
      <c r="H902" s="2">
        <f t="shared" si="57"/>
        <v>0</v>
      </c>
      <c r="I902" s="2">
        <f t="shared" si="58"/>
        <v>1</v>
      </c>
      <c r="J902" s="2">
        <v>500</v>
      </c>
      <c r="K902" s="2" t="s">
        <v>49</v>
      </c>
      <c r="L902" s="2">
        <v>27</v>
      </c>
      <c r="M902" t="str" cm="1">
        <f t="array" ref="M902">_xlfn.IFS(L902&lt;=14,"Short",L902&lt;=30,"Medium",L902&lt;=45,"Long",L902&lt;=60,"Very Long")</f>
        <v>Medium</v>
      </c>
      <c r="N902" s="2" t="s">
        <v>30</v>
      </c>
      <c r="O902" s="3">
        <v>6.9</v>
      </c>
    </row>
    <row r="903" spans="1:15" x14ac:dyDescent="0.25">
      <c r="A903" s="4" t="s">
        <v>962</v>
      </c>
      <c r="B903" s="5">
        <v>70</v>
      </c>
      <c r="C903" t="str" cm="1">
        <f t="array" ref="C903">_xlfn.IFS(B903&lt;=30,"Young",B903&lt;=50,"Middle-aged",B903&gt;50,"Older")</f>
        <v>Older</v>
      </c>
      <c r="D903" s="5" t="s">
        <v>10</v>
      </c>
      <c r="E903" s="5" t="s">
        <v>15</v>
      </c>
      <c r="F903" s="5">
        <f t="shared" si="59"/>
        <v>1</v>
      </c>
      <c r="G903" s="5">
        <f t="shared" si="56"/>
        <v>0</v>
      </c>
      <c r="H903" s="5">
        <f t="shared" si="57"/>
        <v>0</v>
      </c>
      <c r="I903" s="5">
        <f t="shared" si="58"/>
        <v>0</v>
      </c>
      <c r="J903" s="5">
        <v>850</v>
      </c>
      <c r="K903" s="5" t="s">
        <v>44</v>
      </c>
      <c r="L903" s="5">
        <v>53</v>
      </c>
      <c r="M903" t="str" cm="1">
        <f t="array" ref="M903">_xlfn.IFS(L903&lt;=14,"Short",L903&lt;=30,"Medium",L903&lt;=45,"Long",L903&lt;=60,"Very Long")</f>
        <v>Very Long</v>
      </c>
      <c r="N903" s="5" t="s">
        <v>30</v>
      </c>
      <c r="O903" s="6">
        <v>7.7</v>
      </c>
    </row>
    <row r="904" spans="1:15" x14ac:dyDescent="0.25">
      <c r="A904" s="1" t="s">
        <v>963</v>
      </c>
      <c r="B904" s="2">
        <v>23</v>
      </c>
      <c r="C904" t="str" cm="1">
        <f t="array" ref="C904">_xlfn.IFS(B904&lt;=30,"Young",B904&lt;=50,"Middle-aged",B904&gt;50,"Older")</f>
        <v>Young</v>
      </c>
      <c r="D904" s="2" t="s">
        <v>19</v>
      </c>
      <c r="E904" s="2" t="s">
        <v>33</v>
      </c>
      <c r="F904" s="2">
        <f t="shared" si="59"/>
        <v>0</v>
      </c>
      <c r="G904" s="2">
        <f t="shared" si="56"/>
        <v>0</v>
      </c>
      <c r="H904" s="2">
        <f t="shared" si="57"/>
        <v>0</v>
      </c>
      <c r="I904" s="2">
        <f t="shared" si="58"/>
        <v>1</v>
      </c>
      <c r="J904" s="2">
        <v>100</v>
      </c>
      <c r="K904" s="2" t="s">
        <v>49</v>
      </c>
      <c r="L904" s="2">
        <v>51</v>
      </c>
      <c r="M904" t="str" cm="1">
        <f t="array" ref="M904">_xlfn.IFS(L904&lt;=14,"Short",L904&lt;=30,"Medium",L904&lt;=45,"Long",L904&lt;=60,"Very Long")</f>
        <v>Very Long</v>
      </c>
      <c r="N904" s="2" t="s">
        <v>13</v>
      </c>
      <c r="O904" s="3">
        <v>6.2</v>
      </c>
    </row>
    <row r="905" spans="1:15" x14ac:dyDescent="0.25">
      <c r="A905" s="4" t="s">
        <v>964</v>
      </c>
      <c r="B905" s="5">
        <v>75</v>
      </c>
      <c r="C905" t="str" cm="1">
        <f t="array" ref="C905">_xlfn.IFS(B905&lt;=30,"Young",B905&lt;=50,"Middle-aged",B905&gt;50,"Older")</f>
        <v>Older</v>
      </c>
      <c r="D905" s="5" t="s">
        <v>19</v>
      </c>
      <c r="E905" s="5" t="s">
        <v>33</v>
      </c>
      <c r="F905" s="5">
        <f t="shared" si="59"/>
        <v>0</v>
      </c>
      <c r="G905" s="5">
        <f t="shared" si="56"/>
        <v>0</v>
      </c>
      <c r="H905" s="5">
        <f t="shared" si="57"/>
        <v>0</v>
      </c>
      <c r="I905" s="5">
        <f t="shared" si="58"/>
        <v>1</v>
      </c>
      <c r="J905" s="5">
        <v>250</v>
      </c>
      <c r="K905" s="5" t="s">
        <v>47</v>
      </c>
      <c r="L905" s="5">
        <v>24</v>
      </c>
      <c r="M905" t="str" cm="1">
        <f t="array" ref="M905">_xlfn.IFS(L905&lt;=14,"Short",L905&lt;=30,"Medium",L905&lt;=45,"Long",L905&lt;=60,"Very Long")</f>
        <v>Medium</v>
      </c>
      <c r="N905" s="5" t="s">
        <v>345</v>
      </c>
      <c r="O905" s="6">
        <v>6.7</v>
      </c>
    </row>
    <row r="906" spans="1:15" x14ac:dyDescent="0.25">
      <c r="A906" s="1" t="s">
        <v>965</v>
      </c>
      <c r="B906" s="2">
        <v>61</v>
      </c>
      <c r="C906" t="str" cm="1">
        <f t="array" ref="C906">_xlfn.IFS(B906&lt;=30,"Young",B906&lt;=50,"Middle-aged",B906&gt;50,"Older")</f>
        <v>Older</v>
      </c>
      <c r="D906" s="2" t="s">
        <v>19</v>
      </c>
      <c r="E906" s="2" t="s">
        <v>15</v>
      </c>
      <c r="F906" s="2">
        <f t="shared" si="59"/>
        <v>1</v>
      </c>
      <c r="G906" s="2">
        <f t="shared" si="56"/>
        <v>0</v>
      </c>
      <c r="H906" s="2">
        <f t="shared" si="57"/>
        <v>0</v>
      </c>
      <c r="I906" s="2">
        <f t="shared" si="58"/>
        <v>0</v>
      </c>
      <c r="J906" s="2">
        <v>250</v>
      </c>
      <c r="K906" s="2" t="s">
        <v>44</v>
      </c>
      <c r="L906" s="2">
        <v>22</v>
      </c>
      <c r="M906" t="str" cm="1">
        <f t="array" ref="M906">_xlfn.IFS(L906&lt;=14,"Short",L906&lt;=30,"Medium",L906&lt;=45,"Long",L906&lt;=60,"Very Long")</f>
        <v>Medium</v>
      </c>
      <c r="N906" s="2" t="s">
        <v>30</v>
      </c>
      <c r="O906" s="3">
        <v>6.7</v>
      </c>
    </row>
    <row r="907" spans="1:15" x14ac:dyDescent="0.25">
      <c r="A907" s="4" t="s">
        <v>966</v>
      </c>
      <c r="B907" s="5">
        <v>62</v>
      </c>
      <c r="C907" t="str" cm="1">
        <f t="array" ref="C907">_xlfn.IFS(B907&lt;=30,"Young",B907&lt;=50,"Middle-aged",B907&gt;50,"Older")</f>
        <v>Older</v>
      </c>
      <c r="D907" s="5" t="s">
        <v>10</v>
      </c>
      <c r="E907" s="5" t="s">
        <v>11</v>
      </c>
      <c r="F907" s="5">
        <f t="shared" si="59"/>
        <v>0</v>
      </c>
      <c r="G907" s="5">
        <f t="shared" si="56"/>
        <v>0</v>
      </c>
      <c r="H907" s="5">
        <f t="shared" si="57"/>
        <v>0</v>
      </c>
      <c r="I907" s="5">
        <f t="shared" si="58"/>
        <v>0</v>
      </c>
      <c r="J907" s="5">
        <v>850</v>
      </c>
      <c r="K907" s="5" t="s">
        <v>51</v>
      </c>
      <c r="L907" s="5">
        <v>22</v>
      </c>
      <c r="M907" t="str" cm="1">
        <f t="array" ref="M907">_xlfn.IFS(L907&lt;=14,"Short",L907&lt;=30,"Medium",L907&lt;=45,"Long",L907&lt;=60,"Very Long")</f>
        <v>Medium</v>
      </c>
      <c r="N907" s="5" t="s">
        <v>41</v>
      </c>
      <c r="O907" s="6">
        <v>5.9</v>
      </c>
    </row>
    <row r="908" spans="1:15" x14ac:dyDescent="0.25">
      <c r="A908" s="1" t="s">
        <v>967</v>
      </c>
      <c r="B908" s="2">
        <v>49</v>
      </c>
      <c r="C908" t="str" cm="1">
        <f t="array" ref="C908">_xlfn.IFS(B908&lt;=30,"Young",B908&lt;=50,"Middle-aged",B908&gt;50,"Older")</f>
        <v>Middle-aged</v>
      </c>
      <c r="D908" s="2" t="s">
        <v>19</v>
      </c>
      <c r="E908" s="2" t="s">
        <v>33</v>
      </c>
      <c r="F908" s="2">
        <f t="shared" si="59"/>
        <v>0</v>
      </c>
      <c r="G908" s="2">
        <f t="shared" si="56"/>
        <v>0</v>
      </c>
      <c r="H908" s="2">
        <f t="shared" si="57"/>
        <v>0</v>
      </c>
      <c r="I908" s="2">
        <f t="shared" si="58"/>
        <v>1</v>
      </c>
      <c r="J908" s="2">
        <v>100</v>
      </c>
      <c r="K908" s="2" t="s">
        <v>47</v>
      </c>
      <c r="L908" s="2">
        <v>6</v>
      </c>
      <c r="M908" t="str" cm="1">
        <f t="array" ref="M908">_xlfn.IFS(L908&lt;=14,"Short",L908&lt;=30,"Medium",L908&lt;=45,"Long",L908&lt;=60,"Very Long")</f>
        <v>Short</v>
      </c>
      <c r="N908" s="2" t="s">
        <v>225</v>
      </c>
      <c r="O908" s="3">
        <v>6.7</v>
      </c>
    </row>
    <row r="909" spans="1:15" x14ac:dyDescent="0.25">
      <c r="A909" s="4" t="s">
        <v>968</v>
      </c>
      <c r="B909" s="5">
        <v>62</v>
      </c>
      <c r="C909" t="str" cm="1">
        <f t="array" ref="C909">_xlfn.IFS(B909&lt;=30,"Young",B909&lt;=50,"Middle-aged",B909&gt;50,"Older")</f>
        <v>Older</v>
      </c>
      <c r="D909" s="5" t="s">
        <v>10</v>
      </c>
      <c r="E909" s="5" t="s">
        <v>33</v>
      </c>
      <c r="F909" s="5">
        <f t="shared" si="59"/>
        <v>0</v>
      </c>
      <c r="G909" s="5">
        <f t="shared" si="56"/>
        <v>0</v>
      </c>
      <c r="H909" s="5">
        <f t="shared" si="57"/>
        <v>0</v>
      </c>
      <c r="I909" s="5">
        <f t="shared" si="58"/>
        <v>1</v>
      </c>
      <c r="J909" s="5">
        <v>250</v>
      </c>
      <c r="K909" s="5" t="s">
        <v>49</v>
      </c>
      <c r="L909" s="5">
        <v>8</v>
      </c>
      <c r="M909" t="str" cm="1">
        <f t="array" ref="M909">_xlfn.IFS(L909&lt;=14,"Short",L909&lt;=30,"Medium",L909&lt;=45,"Long",L909&lt;=60,"Very Long")</f>
        <v>Short</v>
      </c>
      <c r="N909" s="5" t="s">
        <v>30</v>
      </c>
      <c r="O909" s="6">
        <v>4.7</v>
      </c>
    </row>
    <row r="910" spans="1:15" x14ac:dyDescent="0.25">
      <c r="A910" s="1" t="s">
        <v>969</v>
      </c>
      <c r="B910" s="2">
        <v>78</v>
      </c>
      <c r="C910" t="str" cm="1">
        <f t="array" ref="C910">_xlfn.IFS(B910&lt;=30,"Young",B910&lt;=50,"Middle-aged",B910&gt;50,"Older")</f>
        <v>Older</v>
      </c>
      <c r="D910" s="2" t="s">
        <v>19</v>
      </c>
      <c r="E910" s="2" t="s">
        <v>11</v>
      </c>
      <c r="F910" s="2">
        <f t="shared" si="59"/>
        <v>0</v>
      </c>
      <c r="G910" s="2">
        <f t="shared" si="56"/>
        <v>0</v>
      </c>
      <c r="H910" s="2">
        <f t="shared" si="57"/>
        <v>0</v>
      </c>
      <c r="I910" s="2">
        <f t="shared" si="58"/>
        <v>0</v>
      </c>
      <c r="J910" s="2">
        <v>850</v>
      </c>
      <c r="K910" s="2" t="s">
        <v>51</v>
      </c>
      <c r="L910" s="2">
        <v>34</v>
      </c>
      <c r="M910" t="str" cm="1">
        <f t="array" ref="M910">_xlfn.IFS(L910&lt;=14,"Short",L910&lt;=30,"Medium",L910&lt;=45,"Long",L910&lt;=60,"Very Long")</f>
        <v>Long</v>
      </c>
      <c r="N910" s="2" t="s">
        <v>52</v>
      </c>
      <c r="O910" s="3">
        <v>6.3</v>
      </c>
    </row>
    <row r="911" spans="1:15" x14ac:dyDescent="0.25">
      <c r="A911" s="4" t="s">
        <v>970</v>
      </c>
      <c r="B911" s="5">
        <v>64</v>
      </c>
      <c r="C911" t="str" cm="1">
        <f t="array" ref="C911">_xlfn.IFS(B911&lt;=30,"Young",B911&lt;=50,"Middle-aged",B911&gt;50,"Older")</f>
        <v>Older</v>
      </c>
      <c r="D911" s="5" t="s">
        <v>19</v>
      </c>
      <c r="E911" s="5" t="s">
        <v>33</v>
      </c>
      <c r="F911" s="5">
        <f t="shared" si="59"/>
        <v>0</v>
      </c>
      <c r="G911" s="5">
        <f t="shared" si="56"/>
        <v>0</v>
      </c>
      <c r="H911" s="5">
        <f t="shared" si="57"/>
        <v>0</v>
      </c>
      <c r="I911" s="5">
        <f t="shared" si="58"/>
        <v>1</v>
      </c>
      <c r="J911" s="5">
        <v>100</v>
      </c>
      <c r="K911" s="5" t="s">
        <v>34</v>
      </c>
      <c r="L911" s="5">
        <v>37</v>
      </c>
      <c r="M911" t="str" cm="1">
        <f t="array" ref="M911">_xlfn.IFS(L911&lt;=14,"Short",L911&lt;=30,"Medium",L911&lt;=45,"Long",L911&lt;=60,"Very Long")</f>
        <v>Long</v>
      </c>
      <c r="N911" s="5" t="s">
        <v>95</v>
      </c>
      <c r="O911" s="6">
        <v>6.6</v>
      </c>
    </row>
    <row r="912" spans="1:15" x14ac:dyDescent="0.25">
      <c r="A912" s="1" t="s">
        <v>971</v>
      </c>
      <c r="B912" s="2">
        <v>38</v>
      </c>
      <c r="C912" t="str" cm="1">
        <f t="array" ref="C912">_xlfn.IFS(B912&lt;=30,"Young",B912&lt;=50,"Middle-aged",B912&gt;50,"Older")</f>
        <v>Middle-aged</v>
      </c>
      <c r="D912" s="2" t="s">
        <v>10</v>
      </c>
      <c r="E912" s="2" t="s">
        <v>33</v>
      </c>
      <c r="F912" s="2">
        <f t="shared" si="59"/>
        <v>0</v>
      </c>
      <c r="G912" s="2">
        <f t="shared" si="56"/>
        <v>0</v>
      </c>
      <c r="H912" s="2">
        <f t="shared" si="57"/>
        <v>0</v>
      </c>
      <c r="I912" s="2">
        <f t="shared" si="58"/>
        <v>1</v>
      </c>
      <c r="J912" s="2">
        <v>50</v>
      </c>
      <c r="K912" s="2" t="s">
        <v>34</v>
      </c>
      <c r="L912" s="2">
        <v>40</v>
      </c>
      <c r="M912" t="str" cm="1">
        <f t="array" ref="M912">_xlfn.IFS(L912&lt;=14,"Short",L912&lt;=30,"Medium",L912&lt;=45,"Long",L912&lt;=60,"Very Long")</f>
        <v>Long</v>
      </c>
      <c r="N912" s="2" t="s">
        <v>97</v>
      </c>
      <c r="O912" s="3">
        <v>6.6</v>
      </c>
    </row>
    <row r="913" spans="1:15" x14ac:dyDescent="0.25">
      <c r="A913" s="4" t="s">
        <v>972</v>
      </c>
      <c r="B913" s="5">
        <v>33</v>
      </c>
      <c r="C913" t="str" cm="1">
        <f t="array" ref="C913">_xlfn.IFS(B913&lt;=30,"Young",B913&lt;=50,"Middle-aged",B913&gt;50,"Older")</f>
        <v>Middle-aged</v>
      </c>
      <c r="D913" s="5" t="s">
        <v>19</v>
      </c>
      <c r="E913" s="5" t="s">
        <v>33</v>
      </c>
      <c r="F913" s="5">
        <f t="shared" si="59"/>
        <v>0</v>
      </c>
      <c r="G913" s="5">
        <f t="shared" si="56"/>
        <v>0</v>
      </c>
      <c r="H913" s="5">
        <f t="shared" si="57"/>
        <v>0</v>
      </c>
      <c r="I913" s="5">
        <f t="shared" si="58"/>
        <v>1</v>
      </c>
      <c r="J913" s="5">
        <v>50</v>
      </c>
      <c r="K913" s="5" t="s">
        <v>49</v>
      </c>
      <c r="L913" s="5">
        <v>22</v>
      </c>
      <c r="M913" t="str" cm="1">
        <f t="array" ref="M913">_xlfn.IFS(L913&lt;=14,"Short",L913&lt;=30,"Medium",L913&lt;=45,"Long",L913&lt;=60,"Very Long")</f>
        <v>Medium</v>
      </c>
      <c r="N913" s="5" t="s">
        <v>13</v>
      </c>
      <c r="O913" s="6">
        <v>6.6</v>
      </c>
    </row>
    <row r="914" spans="1:15" x14ac:dyDescent="0.25">
      <c r="A914" s="1" t="s">
        <v>973</v>
      </c>
      <c r="B914" s="2">
        <v>71</v>
      </c>
      <c r="C914" t="str" cm="1">
        <f t="array" ref="C914">_xlfn.IFS(B914&lt;=30,"Young",B914&lt;=50,"Middle-aged",B914&gt;50,"Older")</f>
        <v>Older</v>
      </c>
      <c r="D914" s="2" t="s">
        <v>10</v>
      </c>
      <c r="E914" s="2" t="s">
        <v>24</v>
      </c>
      <c r="F914" s="2">
        <f t="shared" si="59"/>
        <v>0</v>
      </c>
      <c r="G914" s="2">
        <f t="shared" si="56"/>
        <v>0</v>
      </c>
      <c r="H914" s="2">
        <f t="shared" si="57"/>
        <v>1</v>
      </c>
      <c r="I914" s="2">
        <f t="shared" si="58"/>
        <v>0</v>
      </c>
      <c r="J914" s="2">
        <v>100</v>
      </c>
      <c r="K914" s="2" t="s">
        <v>39</v>
      </c>
      <c r="L914" s="2">
        <v>41</v>
      </c>
      <c r="M914" t="str" cm="1">
        <f t="array" ref="M914">_xlfn.IFS(L914&lt;=14,"Short",L914&lt;=30,"Medium",L914&lt;=45,"Long",L914&lt;=60,"Very Long")</f>
        <v>Long</v>
      </c>
      <c r="N914" s="2" t="s">
        <v>136</v>
      </c>
      <c r="O914" s="3">
        <v>6.9</v>
      </c>
    </row>
    <row r="915" spans="1:15" x14ac:dyDescent="0.25">
      <c r="A915" s="4" t="s">
        <v>974</v>
      </c>
      <c r="B915" s="5">
        <v>38</v>
      </c>
      <c r="C915" t="str" cm="1">
        <f t="array" ref="C915">_xlfn.IFS(B915&lt;=30,"Young",B915&lt;=50,"Middle-aged",B915&gt;50,"Older")</f>
        <v>Middle-aged</v>
      </c>
      <c r="D915" s="5" t="s">
        <v>10</v>
      </c>
      <c r="E915" s="5" t="s">
        <v>11</v>
      </c>
      <c r="F915" s="5">
        <f t="shared" si="59"/>
        <v>0</v>
      </c>
      <c r="G915" s="5">
        <f t="shared" si="56"/>
        <v>0</v>
      </c>
      <c r="H915" s="5">
        <f t="shared" si="57"/>
        <v>0</v>
      </c>
      <c r="I915" s="5">
        <f t="shared" si="58"/>
        <v>0</v>
      </c>
      <c r="J915" s="5">
        <v>850</v>
      </c>
      <c r="K915" s="5" t="s">
        <v>84</v>
      </c>
      <c r="L915" s="5">
        <v>23</v>
      </c>
      <c r="M915" t="str" cm="1">
        <f t="array" ref="M915">_xlfn.IFS(L915&lt;=14,"Short",L915&lt;=30,"Medium",L915&lt;=45,"Long",L915&lt;=60,"Very Long")</f>
        <v>Medium</v>
      </c>
      <c r="N915" s="5" t="s">
        <v>97</v>
      </c>
      <c r="O915" s="6">
        <v>7.7</v>
      </c>
    </row>
    <row r="916" spans="1:15" x14ac:dyDescent="0.25">
      <c r="A916" s="1" t="s">
        <v>975</v>
      </c>
      <c r="B916" s="2">
        <v>28</v>
      </c>
      <c r="C916" t="str" cm="1">
        <f t="array" ref="C916">_xlfn.IFS(B916&lt;=30,"Young",B916&lt;=50,"Middle-aged",B916&gt;50,"Older")</f>
        <v>Young</v>
      </c>
      <c r="D916" s="2" t="s">
        <v>19</v>
      </c>
      <c r="E916" s="2" t="s">
        <v>33</v>
      </c>
      <c r="F916" s="2">
        <f t="shared" si="59"/>
        <v>0</v>
      </c>
      <c r="G916" s="2">
        <f t="shared" si="56"/>
        <v>0</v>
      </c>
      <c r="H916" s="2">
        <f t="shared" si="57"/>
        <v>0</v>
      </c>
      <c r="I916" s="2">
        <f t="shared" si="58"/>
        <v>1</v>
      </c>
      <c r="J916" s="2">
        <v>250</v>
      </c>
      <c r="K916" s="2" t="s">
        <v>49</v>
      </c>
      <c r="L916" s="2">
        <v>51</v>
      </c>
      <c r="M916" t="str" cm="1">
        <f t="array" ref="M916">_xlfn.IFS(L916&lt;=14,"Short",L916&lt;=30,"Medium",L916&lt;=45,"Long",L916&lt;=60,"Very Long")</f>
        <v>Very Long</v>
      </c>
      <c r="N916" s="2" t="s">
        <v>91</v>
      </c>
      <c r="O916" s="3">
        <v>8.3000000000000007</v>
      </c>
    </row>
    <row r="917" spans="1:15" x14ac:dyDescent="0.25">
      <c r="A917" s="4" t="s">
        <v>976</v>
      </c>
      <c r="B917" s="5">
        <v>77</v>
      </c>
      <c r="C917" t="str" cm="1">
        <f t="array" ref="C917">_xlfn.IFS(B917&lt;=30,"Young",B917&lt;=50,"Middle-aged",B917&gt;50,"Older")</f>
        <v>Older</v>
      </c>
      <c r="D917" s="5" t="s">
        <v>10</v>
      </c>
      <c r="E917" s="5" t="s">
        <v>11</v>
      </c>
      <c r="F917" s="5">
        <f t="shared" si="59"/>
        <v>0</v>
      </c>
      <c r="G917" s="5">
        <f t="shared" si="56"/>
        <v>0</v>
      </c>
      <c r="H917" s="5">
        <f t="shared" si="57"/>
        <v>0</v>
      </c>
      <c r="I917" s="5">
        <f t="shared" si="58"/>
        <v>0</v>
      </c>
      <c r="J917" s="5">
        <v>500</v>
      </c>
      <c r="K917" s="5" t="s">
        <v>12</v>
      </c>
      <c r="L917" s="5">
        <v>32</v>
      </c>
      <c r="M917" t="str" cm="1">
        <f t="array" ref="M917">_xlfn.IFS(L917&lt;=14,"Short",L917&lt;=30,"Medium",L917&lt;=45,"Long",L917&lt;=60,"Very Long")</f>
        <v>Long</v>
      </c>
      <c r="N917" s="5" t="s">
        <v>120</v>
      </c>
      <c r="O917" s="6">
        <v>6</v>
      </c>
    </row>
    <row r="918" spans="1:15" x14ac:dyDescent="0.25">
      <c r="A918" s="1" t="s">
        <v>977</v>
      </c>
      <c r="B918" s="2">
        <v>54</v>
      </c>
      <c r="C918" t="str" cm="1">
        <f t="array" ref="C918">_xlfn.IFS(B918&lt;=30,"Young",B918&lt;=50,"Middle-aged",B918&gt;50,"Older")</f>
        <v>Older</v>
      </c>
      <c r="D918" s="2" t="s">
        <v>10</v>
      </c>
      <c r="E918" s="2" t="s">
        <v>20</v>
      </c>
      <c r="F918" s="2">
        <f t="shared" si="59"/>
        <v>0</v>
      </c>
      <c r="G918" s="2">
        <f t="shared" si="56"/>
        <v>1</v>
      </c>
      <c r="H918" s="2">
        <f t="shared" si="57"/>
        <v>0</v>
      </c>
      <c r="I918" s="2">
        <f t="shared" si="58"/>
        <v>0</v>
      </c>
      <c r="J918" s="2">
        <v>850</v>
      </c>
      <c r="K918" s="2" t="s">
        <v>21</v>
      </c>
      <c r="L918" s="2">
        <v>44</v>
      </c>
      <c r="M918" t="str" cm="1">
        <f t="array" ref="M918">_xlfn.IFS(L918&lt;=14,"Short",L918&lt;=30,"Medium",L918&lt;=45,"Long",L918&lt;=60,"Very Long")</f>
        <v>Long</v>
      </c>
      <c r="N918" s="2" t="s">
        <v>22</v>
      </c>
      <c r="O918" s="3">
        <v>5.2</v>
      </c>
    </row>
    <row r="919" spans="1:15" x14ac:dyDescent="0.25">
      <c r="A919" s="4" t="s">
        <v>978</v>
      </c>
      <c r="B919" s="5">
        <v>53</v>
      </c>
      <c r="C919" t="str" cm="1">
        <f t="array" ref="C919">_xlfn.IFS(B919&lt;=30,"Young",B919&lt;=50,"Middle-aged",B919&gt;50,"Older")</f>
        <v>Older</v>
      </c>
      <c r="D919" s="5" t="s">
        <v>19</v>
      </c>
      <c r="E919" s="5" t="s">
        <v>20</v>
      </c>
      <c r="F919" s="5">
        <f t="shared" si="59"/>
        <v>0</v>
      </c>
      <c r="G919" s="5">
        <f t="shared" si="56"/>
        <v>1</v>
      </c>
      <c r="H919" s="5">
        <f t="shared" si="57"/>
        <v>0</v>
      </c>
      <c r="I919" s="5">
        <f t="shared" si="58"/>
        <v>0</v>
      </c>
      <c r="J919" s="5">
        <v>850</v>
      </c>
      <c r="K919" s="5" t="s">
        <v>37</v>
      </c>
      <c r="L919" s="5">
        <v>24</v>
      </c>
      <c r="M919" t="str" cm="1">
        <f t="array" ref="M919">_xlfn.IFS(L919&lt;=14,"Short",L919&lt;=30,"Medium",L919&lt;=45,"Long",L919&lt;=60,"Very Long")</f>
        <v>Medium</v>
      </c>
      <c r="N919" s="5" t="s">
        <v>13</v>
      </c>
      <c r="O919" s="6">
        <v>5.4</v>
      </c>
    </row>
    <row r="920" spans="1:15" x14ac:dyDescent="0.25">
      <c r="A920" s="1" t="s">
        <v>979</v>
      </c>
      <c r="B920" s="2">
        <v>52</v>
      </c>
      <c r="C920" t="str" cm="1">
        <f t="array" ref="C920">_xlfn.IFS(B920&lt;=30,"Young",B920&lt;=50,"Middle-aged",B920&gt;50,"Older")</f>
        <v>Older</v>
      </c>
      <c r="D920" s="2" t="s">
        <v>10</v>
      </c>
      <c r="E920" s="2" t="s">
        <v>33</v>
      </c>
      <c r="F920" s="2">
        <f t="shared" si="59"/>
        <v>0</v>
      </c>
      <c r="G920" s="2">
        <f t="shared" si="56"/>
        <v>0</v>
      </c>
      <c r="H920" s="2">
        <f t="shared" si="57"/>
        <v>0</v>
      </c>
      <c r="I920" s="2">
        <f t="shared" si="58"/>
        <v>1</v>
      </c>
      <c r="J920" s="2">
        <v>500</v>
      </c>
      <c r="K920" s="2" t="s">
        <v>34</v>
      </c>
      <c r="L920" s="2">
        <v>53</v>
      </c>
      <c r="M920" t="str" cm="1">
        <f t="array" ref="M920">_xlfn.IFS(L920&lt;=14,"Short",L920&lt;=30,"Medium",L920&lt;=45,"Long",L920&lt;=60,"Very Long")</f>
        <v>Very Long</v>
      </c>
      <c r="N920" s="2" t="s">
        <v>97</v>
      </c>
      <c r="O920" s="3">
        <v>6.3</v>
      </c>
    </row>
    <row r="921" spans="1:15" x14ac:dyDescent="0.25">
      <c r="A921" s="4" t="s">
        <v>980</v>
      </c>
      <c r="B921" s="5">
        <v>36</v>
      </c>
      <c r="C921" t="str" cm="1">
        <f t="array" ref="C921">_xlfn.IFS(B921&lt;=30,"Young",B921&lt;=50,"Middle-aged",B921&gt;50,"Older")</f>
        <v>Middle-aged</v>
      </c>
      <c r="D921" s="5" t="s">
        <v>10</v>
      </c>
      <c r="E921" s="5" t="s">
        <v>11</v>
      </c>
      <c r="F921" s="5">
        <f t="shared" si="59"/>
        <v>0</v>
      </c>
      <c r="G921" s="5">
        <f t="shared" si="56"/>
        <v>0</v>
      </c>
      <c r="H921" s="5">
        <f t="shared" si="57"/>
        <v>0</v>
      </c>
      <c r="I921" s="5">
        <f t="shared" si="58"/>
        <v>0</v>
      </c>
      <c r="J921" s="5">
        <v>250</v>
      </c>
      <c r="K921" s="5" t="s">
        <v>12</v>
      </c>
      <c r="L921" s="5">
        <v>37</v>
      </c>
      <c r="M921" t="str" cm="1">
        <f t="array" ref="M921">_xlfn.IFS(L921&lt;=14,"Short",L921&lt;=30,"Medium",L921&lt;=45,"Long",L921&lt;=60,"Very Long")</f>
        <v>Long</v>
      </c>
      <c r="N921" s="5" t="s">
        <v>120</v>
      </c>
      <c r="O921" s="6">
        <v>6.5</v>
      </c>
    </row>
    <row r="922" spans="1:15" x14ac:dyDescent="0.25">
      <c r="A922" s="1" t="s">
        <v>981</v>
      </c>
      <c r="B922" s="2">
        <v>37</v>
      </c>
      <c r="C922" t="str" cm="1">
        <f t="array" ref="C922">_xlfn.IFS(B922&lt;=30,"Young",B922&lt;=50,"Middle-aged",B922&gt;50,"Older")</f>
        <v>Middle-aged</v>
      </c>
      <c r="D922" s="2" t="s">
        <v>10</v>
      </c>
      <c r="E922" s="2" t="s">
        <v>11</v>
      </c>
      <c r="F922" s="2">
        <f t="shared" si="59"/>
        <v>0</v>
      </c>
      <c r="G922" s="2">
        <f t="shared" si="56"/>
        <v>0</v>
      </c>
      <c r="H922" s="2">
        <f t="shared" si="57"/>
        <v>0</v>
      </c>
      <c r="I922" s="2">
        <f t="shared" si="58"/>
        <v>0</v>
      </c>
      <c r="J922" s="2">
        <v>500</v>
      </c>
      <c r="K922" s="2" t="s">
        <v>12</v>
      </c>
      <c r="L922" s="2">
        <v>16</v>
      </c>
      <c r="M922" t="str" cm="1">
        <f t="array" ref="M922">_xlfn.IFS(L922&lt;=14,"Short",L922&lt;=30,"Medium",L922&lt;=45,"Long",L922&lt;=60,"Very Long")</f>
        <v>Medium</v>
      </c>
      <c r="N922" s="2" t="s">
        <v>30</v>
      </c>
      <c r="O922" s="3">
        <v>5.8</v>
      </c>
    </row>
    <row r="923" spans="1:15" x14ac:dyDescent="0.25">
      <c r="A923" s="4" t="s">
        <v>982</v>
      </c>
      <c r="B923" s="5">
        <v>74</v>
      </c>
      <c r="C923" t="str" cm="1">
        <f t="array" ref="C923">_xlfn.IFS(B923&lt;=30,"Young",B923&lt;=50,"Middle-aged",B923&gt;50,"Older")</f>
        <v>Older</v>
      </c>
      <c r="D923" s="5" t="s">
        <v>19</v>
      </c>
      <c r="E923" s="5" t="s">
        <v>11</v>
      </c>
      <c r="F923" s="5">
        <f t="shared" si="59"/>
        <v>0</v>
      </c>
      <c r="G923" s="5">
        <f t="shared" si="56"/>
        <v>0</v>
      </c>
      <c r="H923" s="5">
        <f t="shared" si="57"/>
        <v>0</v>
      </c>
      <c r="I923" s="5">
        <f t="shared" si="58"/>
        <v>0</v>
      </c>
      <c r="J923" s="5">
        <v>500</v>
      </c>
      <c r="K923" s="5" t="s">
        <v>51</v>
      </c>
      <c r="L923" s="5">
        <v>55</v>
      </c>
      <c r="M923" t="str" cm="1">
        <f t="array" ref="M923">_xlfn.IFS(L923&lt;=14,"Short",L923&lt;=30,"Medium",L923&lt;=45,"Long",L923&lt;=60,"Very Long")</f>
        <v>Very Long</v>
      </c>
      <c r="N923" s="5" t="s">
        <v>13</v>
      </c>
      <c r="O923" s="6">
        <v>5.0999999999999996</v>
      </c>
    </row>
    <row r="924" spans="1:15" x14ac:dyDescent="0.25">
      <c r="A924" s="1" t="s">
        <v>983</v>
      </c>
      <c r="B924" s="2">
        <v>35</v>
      </c>
      <c r="C924" t="str" cm="1">
        <f t="array" ref="C924">_xlfn.IFS(B924&lt;=30,"Young",B924&lt;=50,"Middle-aged",B924&gt;50,"Older")</f>
        <v>Middle-aged</v>
      </c>
      <c r="D924" s="2" t="s">
        <v>10</v>
      </c>
      <c r="E924" s="2" t="s">
        <v>24</v>
      </c>
      <c r="F924" s="2">
        <f t="shared" si="59"/>
        <v>0</v>
      </c>
      <c r="G924" s="2">
        <f t="shared" si="56"/>
        <v>0</v>
      </c>
      <c r="H924" s="2">
        <f t="shared" si="57"/>
        <v>1</v>
      </c>
      <c r="I924" s="2">
        <f t="shared" si="58"/>
        <v>0</v>
      </c>
      <c r="J924" s="2">
        <v>500</v>
      </c>
      <c r="K924" s="2" t="s">
        <v>59</v>
      </c>
      <c r="L924" s="2">
        <v>19</v>
      </c>
      <c r="M924" t="str" cm="1">
        <f t="array" ref="M924">_xlfn.IFS(L924&lt;=14,"Short",L924&lt;=30,"Medium",L924&lt;=45,"Long",L924&lt;=60,"Very Long")</f>
        <v>Medium</v>
      </c>
      <c r="N924" s="2" t="s">
        <v>60</v>
      </c>
      <c r="O924" s="3">
        <v>6.3</v>
      </c>
    </row>
    <row r="925" spans="1:15" x14ac:dyDescent="0.25">
      <c r="A925" s="4" t="s">
        <v>984</v>
      </c>
      <c r="B925" s="5">
        <v>64</v>
      </c>
      <c r="C925" t="str" cm="1">
        <f t="array" ref="C925">_xlfn.IFS(B925&lt;=30,"Young",B925&lt;=50,"Middle-aged",B925&gt;50,"Older")</f>
        <v>Older</v>
      </c>
      <c r="D925" s="5" t="s">
        <v>19</v>
      </c>
      <c r="E925" s="5" t="s">
        <v>20</v>
      </c>
      <c r="F925" s="5">
        <f t="shared" si="59"/>
        <v>0</v>
      </c>
      <c r="G925" s="5">
        <f t="shared" si="56"/>
        <v>1</v>
      </c>
      <c r="H925" s="5">
        <f t="shared" si="57"/>
        <v>0</v>
      </c>
      <c r="I925" s="5">
        <f t="shared" si="58"/>
        <v>0</v>
      </c>
      <c r="J925" s="5">
        <v>100</v>
      </c>
      <c r="K925" s="5" t="s">
        <v>21</v>
      </c>
      <c r="L925" s="5">
        <v>45</v>
      </c>
      <c r="M925" t="str" cm="1">
        <f t="array" ref="M925">_xlfn.IFS(L925&lt;=14,"Short",L925&lt;=30,"Medium",L925&lt;=45,"Long",L925&lt;=60,"Very Long")</f>
        <v>Long</v>
      </c>
      <c r="N925" s="5" t="s">
        <v>41</v>
      </c>
      <c r="O925" s="6">
        <v>7.3</v>
      </c>
    </row>
    <row r="926" spans="1:15" x14ac:dyDescent="0.25">
      <c r="A926" s="1" t="s">
        <v>985</v>
      </c>
      <c r="B926" s="2">
        <v>58</v>
      </c>
      <c r="C926" t="str" cm="1">
        <f t="array" ref="C926">_xlfn.IFS(B926&lt;=30,"Young",B926&lt;=50,"Middle-aged",B926&gt;50,"Older")</f>
        <v>Older</v>
      </c>
      <c r="D926" s="2" t="s">
        <v>19</v>
      </c>
      <c r="E926" s="2" t="s">
        <v>11</v>
      </c>
      <c r="F926" s="2">
        <f t="shared" si="59"/>
        <v>0</v>
      </c>
      <c r="G926" s="2">
        <f t="shared" si="56"/>
        <v>0</v>
      </c>
      <c r="H926" s="2">
        <f t="shared" si="57"/>
        <v>0</v>
      </c>
      <c r="I926" s="2">
        <f t="shared" si="58"/>
        <v>0</v>
      </c>
      <c r="J926" s="2">
        <v>250</v>
      </c>
      <c r="K926" s="2" t="s">
        <v>12</v>
      </c>
      <c r="L926" s="2">
        <v>43</v>
      </c>
      <c r="M926" t="str" cm="1">
        <f t="array" ref="M926">_xlfn.IFS(L926&lt;=14,"Short",L926&lt;=30,"Medium",L926&lt;=45,"Long",L926&lt;=60,"Very Long")</f>
        <v>Long</v>
      </c>
      <c r="N926" s="2" t="s">
        <v>120</v>
      </c>
      <c r="O926" s="3">
        <v>7.9</v>
      </c>
    </row>
    <row r="927" spans="1:15" x14ac:dyDescent="0.25">
      <c r="A927" s="4" t="s">
        <v>986</v>
      </c>
      <c r="B927" s="5">
        <v>66</v>
      </c>
      <c r="C927" t="str" cm="1">
        <f t="array" ref="C927">_xlfn.IFS(B927&lt;=30,"Young",B927&lt;=50,"Middle-aged",B927&gt;50,"Older")</f>
        <v>Older</v>
      </c>
      <c r="D927" s="5" t="s">
        <v>10</v>
      </c>
      <c r="E927" s="5" t="s">
        <v>11</v>
      </c>
      <c r="F927" s="5">
        <f t="shared" si="59"/>
        <v>0</v>
      </c>
      <c r="G927" s="5">
        <f t="shared" si="56"/>
        <v>0</v>
      </c>
      <c r="H927" s="5">
        <f t="shared" si="57"/>
        <v>0</v>
      </c>
      <c r="I927" s="5">
        <f t="shared" si="58"/>
        <v>0</v>
      </c>
      <c r="J927" s="5">
        <v>500</v>
      </c>
      <c r="K927" s="5" t="s">
        <v>51</v>
      </c>
      <c r="L927" s="5">
        <v>6</v>
      </c>
      <c r="M927" t="str" cm="1">
        <f t="array" ref="M927">_xlfn.IFS(L927&lt;=14,"Short",L927&lt;=30,"Medium",L927&lt;=45,"Long",L927&lt;=60,"Very Long")</f>
        <v>Short</v>
      </c>
      <c r="N927" s="5" t="s">
        <v>41</v>
      </c>
      <c r="O927" s="6">
        <v>6.2</v>
      </c>
    </row>
    <row r="928" spans="1:15" x14ac:dyDescent="0.25">
      <c r="A928" s="1" t="s">
        <v>987</v>
      </c>
      <c r="B928" s="2">
        <v>31</v>
      </c>
      <c r="C928" t="str" cm="1">
        <f t="array" ref="C928">_xlfn.IFS(B928&lt;=30,"Young",B928&lt;=50,"Middle-aged",B928&gt;50,"Older")</f>
        <v>Middle-aged</v>
      </c>
      <c r="D928" s="2" t="s">
        <v>10</v>
      </c>
      <c r="E928" s="2" t="s">
        <v>24</v>
      </c>
      <c r="F928" s="2">
        <f t="shared" si="59"/>
        <v>0</v>
      </c>
      <c r="G928" s="2">
        <f t="shared" si="56"/>
        <v>0</v>
      </c>
      <c r="H928" s="2">
        <f t="shared" si="57"/>
        <v>1</v>
      </c>
      <c r="I928" s="2">
        <f t="shared" si="58"/>
        <v>0</v>
      </c>
      <c r="J928" s="2">
        <v>250</v>
      </c>
      <c r="K928" s="2" t="s">
        <v>59</v>
      </c>
      <c r="L928" s="2">
        <v>33</v>
      </c>
      <c r="M928" t="str" cm="1">
        <f t="array" ref="M928">_xlfn.IFS(L928&lt;=14,"Short",L928&lt;=30,"Medium",L928&lt;=45,"Long",L928&lt;=60,"Very Long")</f>
        <v>Long</v>
      </c>
      <c r="N928" s="2" t="s">
        <v>150</v>
      </c>
      <c r="O928" s="3">
        <v>6.4</v>
      </c>
    </row>
    <row r="929" spans="1:15" x14ac:dyDescent="0.25">
      <c r="A929" s="4" t="s">
        <v>988</v>
      </c>
      <c r="B929" s="5">
        <v>32</v>
      </c>
      <c r="C929" t="str" cm="1">
        <f t="array" ref="C929">_xlfn.IFS(B929&lt;=30,"Young",B929&lt;=50,"Middle-aged",B929&gt;50,"Older")</f>
        <v>Middle-aged</v>
      </c>
      <c r="D929" s="5" t="s">
        <v>10</v>
      </c>
      <c r="E929" s="5" t="s">
        <v>24</v>
      </c>
      <c r="F929" s="5">
        <f t="shared" si="59"/>
        <v>0</v>
      </c>
      <c r="G929" s="5">
        <f t="shared" si="56"/>
        <v>0</v>
      </c>
      <c r="H929" s="5">
        <f t="shared" si="57"/>
        <v>1</v>
      </c>
      <c r="I929" s="5">
        <f t="shared" si="58"/>
        <v>0</v>
      </c>
      <c r="J929" s="5">
        <v>100</v>
      </c>
      <c r="K929" s="5" t="s">
        <v>59</v>
      </c>
      <c r="L929" s="5">
        <v>45</v>
      </c>
      <c r="M929" t="str" cm="1">
        <f t="array" ref="M929">_xlfn.IFS(L929&lt;=14,"Short",L929&lt;=30,"Medium",L929&lt;=45,"Long",L929&lt;=60,"Very Long")</f>
        <v>Long</v>
      </c>
      <c r="N929" s="5" t="s">
        <v>74</v>
      </c>
      <c r="O929" s="6">
        <v>5.6</v>
      </c>
    </row>
    <row r="930" spans="1:15" x14ac:dyDescent="0.25">
      <c r="A930" s="1" t="s">
        <v>989</v>
      </c>
      <c r="B930" s="2">
        <v>48</v>
      </c>
      <c r="C930" t="str" cm="1">
        <f t="array" ref="C930">_xlfn.IFS(B930&lt;=30,"Young",B930&lt;=50,"Middle-aged",B930&gt;50,"Older")</f>
        <v>Middle-aged</v>
      </c>
      <c r="D930" s="2" t="s">
        <v>19</v>
      </c>
      <c r="E930" s="2" t="s">
        <v>11</v>
      </c>
      <c r="F930" s="2">
        <f t="shared" si="59"/>
        <v>0</v>
      </c>
      <c r="G930" s="2">
        <f t="shared" si="56"/>
        <v>0</v>
      </c>
      <c r="H930" s="2">
        <f t="shared" si="57"/>
        <v>0</v>
      </c>
      <c r="I930" s="2">
        <f t="shared" si="58"/>
        <v>0</v>
      </c>
      <c r="J930" s="2">
        <v>850</v>
      </c>
      <c r="K930" s="2" t="s">
        <v>12</v>
      </c>
      <c r="L930" s="2">
        <v>14</v>
      </c>
      <c r="M930" t="str" cm="1">
        <f t="array" ref="M930">_xlfn.IFS(L930&lt;=14,"Short",L930&lt;=30,"Medium",L930&lt;=45,"Long",L930&lt;=60,"Very Long")</f>
        <v>Short</v>
      </c>
      <c r="N930" s="2" t="s">
        <v>30</v>
      </c>
      <c r="O930" s="3">
        <v>7</v>
      </c>
    </row>
    <row r="931" spans="1:15" x14ac:dyDescent="0.25">
      <c r="A931" s="4" t="s">
        <v>990</v>
      </c>
      <c r="B931" s="5">
        <v>18</v>
      </c>
      <c r="C931" t="str" cm="1">
        <f t="array" ref="C931">_xlfn.IFS(B931&lt;=30,"Young",B931&lt;=50,"Middle-aged",B931&gt;50,"Older")</f>
        <v>Young</v>
      </c>
      <c r="D931" s="5" t="s">
        <v>10</v>
      </c>
      <c r="E931" s="5" t="s">
        <v>15</v>
      </c>
      <c r="F931" s="5">
        <f t="shared" si="59"/>
        <v>1</v>
      </c>
      <c r="G931" s="5">
        <f t="shared" si="56"/>
        <v>0</v>
      </c>
      <c r="H931" s="5">
        <f t="shared" si="57"/>
        <v>0</v>
      </c>
      <c r="I931" s="5">
        <f t="shared" si="58"/>
        <v>0</v>
      </c>
      <c r="J931" s="5">
        <v>850</v>
      </c>
      <c r="K931" s="5" t="s">
        <v>44</v>
      </c>
      <c r="L931" s="5">
        <v>6</v>
      </c>
      <c r="M931" t="str" cm="1">
        <f t="array" ref="M931">_xlfn.IFS(L931&lt;=14,"Short",L931&lt;=30,"Medium",L931&lt;=45,"Long",L931&lt;=60,"Very Long")</f>
        <v>Short</v>
      </c>
      <c r="N931" s="5" t="s">
        <v>95</v>
      </c>
      <c r="O931" s="6">
        <v>5.7</v>
      </c>
    </row>
    <row r="932" spans="1:15" x14ac:dyDescent="0.25">
      <c r="A932" s="1" t="s">
        <v>991</v>
      </c>
      <c r="B932" s="2">
        <v>70</v>
      </c>
      <c r="C932" t="str" cm="1">
        <f t="array" ref="C932">_xlfn.IFS(B932&lt;=30,"Young",B932&lt;=50,"Middle-aged",B932&gt;50,"Older")</f>
        <v>Older</v>
      </c>
      <c r="D932" s="2" t="s">
        <v>10</v>
      </c>
      <c r="E932" s="2" t="s">
        <v>11</v>
      </c>
      <c r="F932" s="2">
        <f t="shared" si="59"/>
        <v>0</v>
      </c>
      <c r="G932" s="2">
        <f t="shared" si="56"/>
        <v>0</v>
      </c>
      <c r="H932" s="2">
        <f t="shared" si="57"/>
        <v>0</v>
      </c>
      <c r="I932" s="2">
        <f t="shared" si="58"/>
        <v>0</v>
      </c>
      <c r="J932" s="2">
        <v>850</v>
      </c>
      <c r="K932" s="2" t="s">
        <v>12</v>
      </c>
      <c r="L932" s="2">
        <v>55</v>
      </c>
      <c r="M932" t="str" cm="1">
        <f t="array" ref="M932">_xlfn.IFS(L932&lt;=14,"Short",L932&lt;=30,"Medium",L932&lt;=45,"Long",L932&lt;=60,"Very Long")</f>
        <v>Very Long</v>
      </c>
      <c r="N932" s="2" t="s">
        <v>13</v>
      </c>
      <c r="O932" s="3">
        <v>7.9</v>
      </c>
    </row>
    <row r="933" spans="1:15" x14ac:dyDescent="0.25">
      <c r="A933" s="4" t="s">
        <v>992</v>
      </c>
      <c r="B933" s="5">
        <v>71</v>
      </c>
      <c r="C933" t="str" cm="1">
        <f t="array" ref="C933">_xlfn.IFS(B933&lt;=30,"Young",B933&lt;=50,"Middle-aged",B933&gt;50,"Older")</f>
        <v>Older</v>
      </c>
      <c r="D933" s="5" t="s">
        <v>10</v>
      </c>
      <c r="E933" s="5" t="s">
        <v>11</v>
      </c>
      <c r="F933" s="5">
        <f t="shared" si="59"/>
        <v>0</v>
      </c>
      <c r="G933" s="5">
        <f t="shared" si="56"/>
        <v>0</v>
      </c>
      <c r="H933" s="5">
        <f t="shared" si="57"/>
        <v>0</v>
      </c>
      <c r="I933" s="5">
        <f t="shared" si="58"/>
        <v>0</v>
      </c>
      <c r="J933" s="5">
        <v>50</v>
      </c>
      <c r="K933" s="5" t="s">
        <v>12</v>
      </c>
      <c r="L933" s="5">
        <v>15</v>
      </c>
      <c r="M933" t="str" cm="1">
        <f t="array" ref="M933">_xlfn.IFS(L933&lt;=14,"Short",L933&lt;=30,"Medium",L933&lt;=45,"Long",L933&lt;=60,"Very Long")</f>
        <v>Medium</v>
      </c>
      <c r="N933" s="5" t="s">
        <v>30</v>
      </c>
      <c r="O933" s="6">
        <v>4.3</v>
      </c>
    </row>
    <row r="934" spans="1:15" x14ac:dyDescent="0.25">
      <c r="A934" s="1" t="s">
        <v>993</v>
      </c>
      <c r="B934" s="2">
        <v>71</v>
      </c>
      <c r="C934" t="str" cm="1">
        <f t="array" ref="C934">_xlfn.IFS(B934&lt;=30,"Young",B934&lt;=50,"Middle-aged",B934&gt;50,"Older")</f>
        <v>Older</v>
      </c>
      <c r="D934" s="2" t="s">
        <v>10</v>
      </c>
      <c r="E934" s="2" t="s">
        <v>24</v>
      </c>
      <c r="F934" s="2">
        <f t="shared" si="59"/>
        <v>0</v>
      </c>
      <c r="G934" s="2">
        <f t="shared" si="56"/>
        <v>0</v>
      </c>
      <c r="H934" s="2">
        <f t="shared" si="57"/>
        <v>1</v>
      </c>
      <c r="I934" s="2">
        <f t="shared" si="58"/>
        <v>0</v>
      </c>
      <c r="J934" s="2">
        <v>500</v>
      </c>
      <c r="K934" s="2" t="s">
        <v>59</v>
      </c>
      <c r="L934" s="2">
        <v>17</v>
      </c>
      <c r="M934" t="str" cm="1">
        <f t="array" ref="M934">_xlfn.IFS(L934&lt;=14,"Short",L934&lt;=30,"Medium",L934&lt;=45,"Long",L934&lt;=60,"Very Long")</f>
        <v>Medium</v>
      </c>
      <c r="N934" s="2" t="s">
        <v>60</v>
      </c>
      <c r="O934" s="3">
        <v>6.5</v>
      </c>
    </row>
    <row r="935" spans="1:15" x14ac:dyDescent="0.25">
      <c r="A935" s="4" t="s">
        <v>994</v>
      </c>
      <c r="B935" s="5">
        <v>20</v>
      </c>
      <c r="C935" t="str" cm="1">
        <f t="array" ref="C935">_xlfn.IFS(B935&lt;=30,"Young",B935&lt;=50,"Middle-aged",B935&gt;50,"Older")</f>
        <v>Young</v>
      </c>
      <c r="D935" s="5" t="s">
        <v>10</v>
      </c>
      <c r="E935" s="5" t="s">
        <v>24</v>
      </c>
      <c r="F935" s="5">
        <f t="shared" si="59"/>
        <v>0</v>
      </c>
      <c r="G935" s="5">
        <f t="shared" si="56"/>
        <v>0</v>
      </c>
      <c r="H935" s="5">
        <f t="shared" si="57"/>
        <v>1</v>
      </c>
      <c r="I935" s="5">
        <f t="shared" si="58"/>
        <v>0</v>
      </c>
      <c r="J935" s="5">
        <v>850</v>
      </c>
      <c r="K935" s="5" t="s">
        <v>59</v>
      </c>
      <c r="L935" s="5">
        <v>14</v>
      </c>
      <c r="M935" t="str" cm="1">
        <f t="array" ref="M935">_xlfn.IFS(L935&lt;=14,"Short",L935&lt;=30,"Medium",L935&lt;=45,"Long",L935&lt;=60,"Very Long")</f>
        <v>Short</v>
      </c>
      <c r="N935" s="5" t="s">
        <v>74</v>
      </c>
      <c r="O935" s="6">
        <v>7.5</v>
      </c>
    </row>
    <row r="936" spans="1:15" x14ac:dyDescent="0.25">
      <c r="A936" s="1" t="s">
        <v>995</v>
      </c>
      <c r="B936" s="2">
        <v>33</v>
      </c>
      <c r="C936" t="str" cm="1">
        <f t="array" ref="C936">_xlfn.IFS(B936&lt;=30,"Young",B936&lt;=50,"Middle-aged",B936&gt;50,"Older")</f>
        <v>Middle-aged</v>
      </c>
      <c r="D936" s="2" t="s">
        <v>19</v>
      </c>
      <c r="E936" s="2" t="s">
        <v>11</v>
      </c>
      <c r="F936" s="2">
        <f t="shared" si="59"/>
        <v>0</v>
      </c>
      <c r="G936" s="2">
        <f t="shared" si="56"/>
        <v>0</v>
      </c>
      <c r="H936" s="2">
        <f t="shared" si="57"/>
        <v>0</v>
      </c>
      <c r="I936" s="2">
        <f t="shared" si="58"/>
        <v>0</v>
      </c>
      <c r="J936" s="2">
        <v>50</v>
      </c>
      <c r="K936" s="2" t="s">
        <v>12</v>
      </c>
      <c r="L936" s="2">
        <v>18</v>
      </c>
      <c r="M936" t="str" cm="1">
        <f t="array" ref="M936">_xlfn.IFS(L936&lt;=14,"Short",L936&lt;=30,"Medium",L936&lt;=45,"Long",L936&lt;=60,"Very Long")</f>
        <v>Medium</v>
      </c>
      <c r="N936" s="2" t="s">
        <v>30</v>
      </c>
      <c r="O936" s="3">
        <v>7.3</v>
      </c>
    </row>
    <row r="937" spans="1:15" x14ac:dyDescent="0.25">
      <c r="A937" s="4" t="s">
        <v>996</v>
      </c>
      <c r="B937" s="5">
        <v>40</v>
      </c>
      <c r="C937" t="str" cm="1">
        <f t="array" ref="C937">_xlfn.IFS(B937&lt;=30,"Young",B937&lt;=50,"Middle-aged",B937&gt;50,"Older")</f>
        <v>Middle-aged</v>
      </c>
      <c r="D937" s="5" t="s">
        <v>19</v>
      </c>
      <c r="E937" s="5" t="s">
        <v>11</v>
      </c>
      <c r="F937" s="5">
        <f t="shared" si="59"/>
        <v>0</v>
      </c>
      <c r="G937" s="5">
        <f t="shared" si="56"/>
        <v>0</v>
      </c>
      <c r="H937" s="5">
        <f t="shared" si="57"/>
        <v>0</v>
      </c>
      <c r="I937" s="5">
        <f t="shared" si="58"/>
        <v>0</v>
      </c>
      <c r="J937" s="5">
        <v>250</v>
      </c>
      <c r="K937" s="5" t="s">
        <v>12</v>
      </c>
      <c r="L937" s="5">
        <v>22</v>
      </c>
      <c r="M937" t="str" cm="1">
        <f t="array" ref="M937">_xlfn.IFS(L937&lt;=14,"Short",L937&lt;=30,"Medium",L937&lt;=45,"Long",L937&lt;=60,"Very Long")</f>
        <v>Medium</v>
      </c>
      <c r="N937" s="5" t="s">
        <v>120</v>
      </c>
      <c r="O937" s="6">
        <v>10</v>
      </c>
    </row>
    <row r="938" spans="1:15" x14ac:dyDescent="0.25">
      <c r="A938" s="1" t="s">
        <v>997</v>
      </c>
      <c r="B938" s="2">
        <v>74</v>
      </c>
      <c r="C938" t="str" cm="1">
        <f t="array" ref="C938">_xlfn.IFS(B938&lt;=30,"Young",B938&lt;=50,"Middle-aged",B938&gt;50,"Older")</f>
        <v>Older</v>
      </c>
      <c r="D938" s="2" t="s">
        <v>10</v>
      </c>
      <c r="E938" s="2" t="s">
        <v>11</v>
      </c>
      <c r="F938" s="2">
        <f t="shared" si="59"/>
        <v>0</v>
      </c>
      <c r="G938" s="2">
        <f t="shared" si="56"/>
        <v>0</v>
      </c>
      <c r="H938" s="2">
        <f t="shared" si="57"/>
        <v>0</v>
      </c>
      <c r="I938" s="2">
        <f t="shared" si="58"/>
        <v>0</v>
      </c>
      <c r="J938" s="2">
        <v>850</v>
      </c>
      <c r="K938" s="2" t="s">
        <v>51</v>
      </c>
      <c r="L938" s="2">
        <v>55</v>
      </c>
      <c r="M938" t="str" cm="1">
        <f t="array" ref="M938">_xlfn.IFS(L938&lt;=14,"Short",L938&lt;=30,"Medium",L938&lt;=45,"Long",L938&lt;=60,"Very Long")</f>
        <v>Very Long</v>
      </c>
      <c r="N938" s="2" t="s">
        <v>13</v>
      </c>
      <c r="O938" s="3">
        <v>7.5</v>
      </c>
    </row>
    <row r="939" spans="1:15" x14ac:dyDescent="0.25">
      <c r="A939" s="4" t="s">
        <v>998</v>
      </c>
      <c r="B939" s="5">
        <v>28</v>
      </c>
      <c r="C939" t="str" cm="1">
        <f t="array" ref="C939">_xlfn.IFS(B939&lt;=30,"Young",B939&lt;=50,"Middle-aged",B939&gt;50,"Older")</f>
        <v>Young</v>
      </c>
      <c r="D939" s="5" t="s">
        <v>10</v>
      </c>
      <c r="E939" s="5" t="s">
        <v>24</v>
      </c>
      <c r="F939" s="5">
        <f t="shared" si="59"/>
        <v>0</v>
      </c>
      <c r="G939" s="5">
        <f t="shared" si="56"/>
        <v>0</v>
      </c>
      <c r="H939" s="5">
        <f t="shared" si="57"/>
        <v>1</v>
      </c>
      <c r="I939" s="5">
        <f t="shared" si="58"/>
        <v>0</v>
      </c>
      <c r="J939" s="5">
        <v>850</v>
      </c>
      <c r="K939" s="5" t="s">
        <v>25</v>
      </c>
      <c r="L939" s="5">
        <v>58</v>
      </c>
      <c r="M939" t="str" cm="1">
        <f t="array" ref="M939">_xlfn.IFS(L939&lt;=14,"Short",L939&lt;=30,"Medium",L939&lt;=45,"Long",L939&lt;=60,"Very Long")</f>
        <v>Very Long</v>
      </c>
      <c r="N939" s="5" t="s">
        <v>13</v>
      </c>
      <c r="O939" s="6">
        <v>5.5</v>
      </c>
    </row>
    <row r="940" spans="1:15" x14ac:dyDescent="0.25">
      <c r="A940" s="1" t="s">
        <v>999</v>
      </c>
      <c r="B940" s="2">
        <v>29</v>
      </c>
      <c r="C940" t="str" cm="1">
        <f t="array" ref="C940">_xlfn.IFS(B940&lt;=30,"Young",B940&lt;=50,"Middle-aged",B940&gt;50,"Older")</f>
        <v>Young</v>
      </c>
      <c r="D940" s="2" t="s">
        <v>10</v>
      </c>
      <c r="E940" s="2" t="s">
        <v>11</v>
      </c>
      <c r="F940" s="2">
        <f t="shared" si="59"/>
        <v>0</v>
      </c>
      <c r="G940" s="2">
        <f t="shared" si="56"/>
        <v>0</v>
      </c>
      <c r="H940" s="2">
        <f t="shared" si="57"/>
        <v>0</v>
      </c>
      <c r="I940" s="2">
        <f t="shared" si="58"/>
        <v>0</v>
      </c>
      <c r="J940" s="2">
        <v>850</v>
      </c>
      <c r="K940" s="2" t="s">
        <v>84</v>
      </c>
      <c r="L940" s="2">
        <v>13</v>
      </c>
      <c r="M940" t="str" cm="1">
        <f t="array" ref="M940">_xlfn.IFS(L940&lt;=14,"Short",L940&lt;=30,"Medium",L940&lt;=45,"Long",L940&lt;=60,"Very Long")</f>
        <v>Short</v>
      </c>
      <c r="N940" s="2" t="s">
        <v>97</v>
      </c>
      <c r="O940" s="3">
        <v>6.9</v>
      </c>
    </row>
    <row r="941" spans="1:15" x14ac:dyDescent="0.25">
      <c r="A941" s="4" t="s">
        <v>1000</v>
      </c>
      <c r="B941" s="5">
        <v>27</v>
      </c>
      <c r="C941" t="str" cm="1">
        <f t="array" ref="C941">_xlfn.IFS(B941&lt;=30,"Young",B941&lt;=50,"Middle-aged",B941&gt;50,"Older")</f>
        <v>Young</v>
      </c>
      <c r="D941" s="5" t="s">
        <v>10</v>
      </c>
      <c r="E941" s="5" t="s">
        <v>11</v>
      </c>
      <c r="F941" s="5">
        <f t="shared" si="59"/>
        <v>0</v>
      </c>
      <c r="G941" s="5">
        <f t="shared" si="56"/>
        <v>0</v>
      </c>
      <c r="H941" s="5">
        <f t="shared" si="57"/>
        <v>0</v>
      </c>
      <c r="I941" s="5">
        <f t="shared" si="58"/>
        <v>0</v>
      </c>
      <c r="J941" s="5">
        <v>100</v>
      </c>
      <c r="K941" s="5" t="s">
        <v>12</v>
      </c>
      <c r="L941" s="5">
        <v>43</v>
      </c>
      <c r="M941" t="str" cm="1">
        <f t="array" ref="M941">_xlfn.IFS(L941&lt;=14,"Short",L941&lt;=30,"Medium",L941&lt;=45,"Long",L941&lt;=60,"Very Long")</f>
        <v>Long</v>
      </c>
      <c r="N941" s="5" t="s">
        <v>30</v>
      </c>
      <c r="O941" s="6">
        <v>4.3</v>
      </c>
    </row>
    <row r="942" spans="1:15" x14ac:dyDescent="0.25">
      <c r="A942" s="1" t="s">
        <v>1001</v>
      </c>
      <c r="B942" s="2">
        <v>49</v>
      </c>
      <c r="C942" t="str" cm="1">
        <f t="array" ref="C942">_xlfn.IFS(B942&lt;=30,"Young",B942&lt;=50,"Middle-aged",B942&gt;50,"Older")</f>
        <v>Middle-aged</v>
      </c>
      <c r="D942" s="2" t="s">
        <v>19</v>
      </c>
      <c r="E942" s="2" t="s">
        <v>33</v>
      </c>
      <c r="F942" s="2">
        <f t="shared" si="59"/>
        <v>0</v>
      </c>
      <c r="G942" s="2">
        <f t="shared" si="56"/>
        <v>0</v>
      </c>
      <c r="H942" s="2">
        <f t="shared" si="57"/>
        <v>0</v>
      </c>
      <c r="I942" s="2">
        <f t="shared" si="58"/>
        <v>1</v>
      </c>
      <c r="J942" s="2">
        <v>250</v>
      </c>
      <c r="K942" s="2" t="s">
        <v>49</v>
      </c>
      <c r="L942" s="2">
        <v>32</v>
      </c>
      <c r="M942" t="str" cm="1">
        <f t="array" ref="M942">_xlfn.IFS(L942&lt;=14,"Short",L942&lt;=30,"Medium",L942&lt;=45,"Long",L942&lt;=60,"Very Long")</f>
        <v>Long</v>
      </c>
      <c r="N942" s="2" t="s">
        <v>13</v>
      </c>
      <c r="O942" s="3">
        <v>6.9</v>
      </c>
    </row>
    <row r="943" spans="1:15" x14ac:dyDescent="0.25">
      <c r="A943" s="4" t="s">
        <v>1002</v>
      </c>
      <c r="B943" s="5">
        <v>33</v>
      </c>
      <c r="C943" t="str" cm="1">
        <f t="array" ref="C943">_xlfn.IFS(B943&lt;=30,"Young",B943&lt;=50,"Middle-aged",B943&gt;50,"Older")</f>
        <v>Middle-aged</v>
      </c>
      <c r="D943" s="5" t="s">
        <v>10</v>
      </c>
      <c r="E943" s="5" t="s">
        <v>15</v>
      </c>
      <c r="F943" s="5">
        <f t="shared" si="59"/>
        <v>1</v>
      </c>
      <c r="G943" s="5">
        <f t="shared" si="56"/>
        <v>0</v>
      </c>
      <c r="H943" s="5">
        <f t="shared" si="57"/>
        <v>0</v>
      </c>
      <c r="I943" s="5">
        <f t="shared" si="58"/>
        <v>0</v>
      </c>
      <c r="J943" s="5">
        <v>100</v>
      </c>
      <c r="K943" s="5" t="s">
        <v>44</v>
      </c>
      <c r="L943" s="5">
        <v>7</v>
      </c>
      <c r="M943" t="str" cm="1">
        <f t="array" ref="M943">_xlfn.IFS(L943&lt;=14,"Short",L943&lt;=30,"Medium",L943&lt;=45,"Long",L943&lt;=60,"Very Long")</f>
        <v>Short</v>
      </c>
      <c r="N943" s="5" t="s">
        <v>95</v>
      </c>
      <c r="O943" s="6">
        <v>5.8</v>
      </c>
    </row>
    <row r="944" spans="1:15" x14ac:dyDescent="0.25">
      <c r="A944" s="1" t="s">
        <v>1003</v>
      </c>
      <c r="B944" s="2">
        <v>25</v>
      </c>
      <c r="C944" t="str" cm="1">
        <f t="array" ref="C944">_xlfn.IFS(B944&lt;=30,"Young",B944&lt;=50,"Middle-aged",B944&gt;50,"Older")</f>
        <v>Young</v>
      </c>
      <c r="D944" s="2" t="s">
        <v>19</v>
      </c>
      <c r="E944" s="2" t="s">
        <v>20</v>
      </c>
      <c r="F944" s="2">
        <f t="shared" si="59"/>
        <v>0</v>
      </c>
      <c r="G944" s="2">
        <f t="shared" si="56"/>
        <v>1</v>
      </c>
      <c r="H944" s="2">
        <f t="shared" si="57"/>
        <v>0</v>
      </c>
      <c r="I944" s="2">
        <f t="shared" si="58"/>
        <v>0</v>
      </c>
      <c r="J944" s="2">
        <v>500</v>
      </c>
      <c r="K944" s="2" t="s">
        <v>37</v>
      </c>
      <c r="L944" s="2">
        <v>24</v>
      </c>
      <c r="M944" t="str" cm="1">
        <f t="array" ref="M944">_xlfn.IFS(L944&lt;=14,"Short",L944&lt;=30,"Medium",L944&lt;=45,"Long",L944&lt;=60,"Very Long")</f>
        <v>Medium</v>
      </c>
      <c r="N944" s="2" t="s">
        <v>13</v>
      </c>
      <c r="O944" s="3">
        <v>8.4</v>
      </c>
    </row>
    <row r="945" spans="1:15" x14ac:dyDescent="0.25">
      <c r="A945" s="4" t="s">
        <v>1004</v>
      </c>
      <c r="B945" s="5">
        <v>55</v>
      </c>
      <c r="C945" t="str" cm="1">
        <f t="array" ref="C945">_xlfn.IFS(B945&lt;=30,"Young",B945&lt;=50,"Middle-aged",B945&gt;50,"Older")</f>
        <v>Older</v>
      </c>
      <c r="D945" s="5" t="s">
        <v>19</v>
      </c>
      <c r="E945" s="5" t="s">
        <v>15</v>
      </c>
      <c r="F945" s="5">
        <f t="shared" si="59"/>
        <v>1</v>
      </c>
      <c r="G945" s="5">
        <f t="shared" si="56"/>
        <v>0</v>
      </c>
      <c r="H945" s="5">
        <f t="shared" si="57"/>
        <v>0</v>
      </c>
      <c r="I945" s="5">
        <f t="shared" si="58"/>
        <v>0</v>
      </c>
      <c r="J945" s="5">
        <v>250</v>
      </c>
      <c r="K945" s="5" t="s">
        <v>63</v>
      </c>
      <c r="L945" s="5">
        <v>10</v>
      </c>
      <c r="M945" t="str" cm="1">
        <f t="array" ref="M945">_xlfn.IFS(L945&lt;=14,"Short",L945&lt;=30,"Medium",L945&lt;=45,"Long",L945&lt;=60,"Very Long")</f>
        <v>Short</v>
      </c>
      <c r="N945" s="5" t="s">
        <v>64</v>
      </c>
      <c r="O945" s="6">
        <v>6.2</v>
      </c>
    </row>
    <row r="946" spans="1:15" x14ac:dyDescent="0.25">
      <c r="A946" s="1" t="s">
        <v>1005</v>
      </c>
      <c r="B946" s="2">
        <v>29</v>
      </c>
      <c r="C946" t="str" cm="1">
        <f t="array" ref="C946">_xlfn.IFS(B946&lt;=30,"Young",B946&lt;=50,"Middle-aged",B946&gt;50,"Older")</f>
        <v>Young</v>
      </c>
      <c r="D946" s="2" t="s">
        <v>10</v>
      </c>
      <c r="E946" s="2" t="s">
        <v>33</v>
      </c>
      <c r="F946" s="2">
        <f t="shared" si="59"/>
        <v>0</v>
      </c>
      <c r="G946" s="2">
        <f t="shared" si="56"/>
        <v>0</v>
      </c>
      <c r="H946" s="2">
        <f t="shared" si="57"/>
        <v>0</v>
      </c>
      <c r="I946" s="2">
        <f t="shared" si="58"/>
        <v>1</v>
      </c>
      <c r="J946" s="2">
        <v>500</v>
      </c>
      <c r="K946" s="2" t="s">
        <v>47</v>
      </c>
      <c r="L946" s="2">
        <v>31</v>
      </c>
      <c r="M946" t="str" cm="1">
        <f t="array" ref="M946">_xlfn.IFS(L946&lt;=14,"Short",L946&lt;=30,"Medium",L946&lt;=45,"Long",L946&lt;=60,"Very Long")</f>
        <v>Long</v>
      </c>
      <c r="N946" s="2" t="s">
        <v>345</v>
      </c>
      <c r="O946" s="3">
        <v>6.8</v>
      </c>
    </row>
    <row r="947" spans="1:15" x14ac:dyDescent="0.25">
      <c r="A947" s="4" t="s">
        <v>1006</v>
      </c>
      <c r="B947" s="5">
        <v>41</v>
      </c>
      <c r="C947" t="str" cm="1">
        <f t="array" ref="C947">_xlfn.IFS(B947&lt;=30,"Young",B947&lt;=50,"Middle-aged",B947&gt;50,"Older")</f>
        <v>Middle-aged</v>
      </c>
      <c r="D947" s="5" t="s">
        <v>19</v>
      </c>
      <c r="E947" s="5" t="s">
        <v>20</v>
      </c>
      <c r="F947" s="5">
        <f t="shared" si="59"/>
        <v>0</v>
      </c>
      <c r="G947" s="5">
        <f t="shared" si="56"/>
        <v>1</v>
      </c>
      <c r="H947" s="5">
        <f t="shared" si="57"/>
        <v>0</v>
      </c>
      <c r="I947" s="5">
        <f t="shared" si="58"/>
        <v>0</v>
      </c>
      <c r="J947" s="5">
        <v>850</v>
      </c>
      <c r="K947" s="5" t="s">
        <v>37</v>
      </c>
      <c r="L947" s="5">
        <v>57</v>
      </c>
      <c r="M947" t="str" cm="1">
        <f t="array" ref="M947">_xlfn.IFS(L947&lt;=14,"Short",L947&lt;=30,"Medium",L947&lt;=45,"Long",L947&lt;=60,"Very Long")</f>
        <v>Very Long</v>
      </c>
      <c r="N947" s="5" t="s">
        <v>88</v>
      </c>
      <c r="O947" s="6">
        <v>6</v>
      </c>
    </row>
    <row r="948" spans="1:15" x14ac:dyDescent="0.25">
      <c r="A948" s="1" t="s">
        <v>1007</v>
      </c>
      <c r="B948" s="2">
        <v>45</v>
      </c>
      <c r="C948" t="str" cm="1">
        <f t="array" ref="C948">_xlfn.IFS(B948&lt;=30,"Young",B948&lt;=50,"Middle-aged",B948&gt;50,"Older")</f>
        <v>Middle-aged</v>
      </c>
      <c r="D948" s="2" t="s">
        <v>19</v>
      </c>
      <c r="E948" s="2" t="s">
        <v>11</v>
      </c>
      <c r="F948" s="2">
        <f t="shared" si="59"/>
        <v>0</v>
      </c>
      <c r="G948" s="2">
        <f t="shared" si="56"/>
        <v>0</v>
      </c>
      <c r="H948" s="2">
        <f t="shared" si="57"/>
        <v>0</v>
      </c>
      <c r="I948" s="2">
        <f t="shared" si="58"/>
        <v>0</v>
      </c>
      <c r="J948" s="2">
        <v>850</v>
      </c>
      <c r="K948" s="2" t="s">
        <v>12</v>
      </c>
      <c r="L948" s="2">
        <v>6</v>
      </c>
      <c r="M948" t="str" cm="1">
        <f t="array" ref="M948">_xlfn.IFS(L948&lt;=14,"Short",L948&lt;=30,"Medium",L948&lt;=45,"Long",L948&lt;=60,"Very Long")</f>
        <v>Short</v>
      </c>
      <c r="N948" s="2" t="s">
        <v>120</v>
      </c>
      <c r="O948" s="3">
        <v>9.6</v>
      </c>
    </row>
    <row r="949" spans="1:15" x14ac:dyDescent="0.25">
      <c r="A949" s="4" t="s">
        <v>1008</v>
      </c>
      <c r="B949" s="5">
        <v>70</v>
      </c>
      <c r="C949" t="str" cm="1">
        <f t="array" ref="C949">_xlfn.IFS(B949&lt;=30,"Young",B949&lt;=50,"Middle-aged",B949&gt;50,"Older")</f>
        <v>Older</v>
      </c>
      <c r="D949" s="5" t="s">
        <v>19</v>
      </c>
      <c r="E949" s="5" t="s">
        <v>33</v>
      </c>
      <c r="F949" s="5">
        <f t="shared" si="59"/>
        <v>0</v>
      </c>
      <c r="G949" s="5">
        <f t="shared" si="56"/>
        <v>0</v>
      </c>
      <c r="H949" s="5">
        <f t="shared" si="57"/>
        <v>0</v>
      </c>
      <c r="I949" s="5">
        <f t="shared" si="58"/>
        <v>1</v>
      </c>
      <c r="J949" s="5">
        <v>850</v>
      </c>
      <c r="K949" s="5" t="s">
        <v>47</v>
      </c>
      <c r="L949" s="5">
        <v>33</v>
      </c>
      <c r="M949" t="str" cm="1">
        <f t="array" ref="M949">_xlfn.IFS(L949&lt;=14,"Short",L949&lt;=30,"Medium",L949&lt;=45,"Long",L949&lt;=60,"Very Long")</f>
        <v>Long</v>
      </c>
      <c r="N949" s="5" t="s">
        <v>225</v>
      </c>
      <c r="O949" s="6">
        <v>6.5</v>
      </c>
    </row>
    <row r="950" spans="1:15" x14ac:dyDescent="0.25">
      <c r="A950" s="1" t="s">
        <v>1009</v>
      </c>
      <c r="B950" s="2">
        <v>25</v>
      </c>
      <c r="C950" t="str" cm="1">
        <f t="array" ref="C950">_xlfn.IFS(B950&lt;=30,"Young",B950&lt;=50,"Middle-aged",B950&gt;50,"Older")</f>
        <v>Young</v>
      </c>
      <c r="D950" s="2" t="s">
        <v>19</v>
      </c>
      <c r="E950" s="2" t="s">
        <v>11</v>
      </c>
      <c r="F950" s="2">
        <f t="shared" si="59"/>
        <v>0</v>
      </c>
      <c r="G950" s="2">
        <f t="shared" si="56"/>
        <v>0</v>
      </c>
      <c r="H950" s="2">
        <f t="shared" si="57"/>
        <v>0</v>
      </c>
      <c r="I950" s="2">
        <f t="shared" si="58"/>
        <v>0</v>
      </c>
      <c r="J950" s="2">
        <v>100</v>
      </c>
      <c r="K950" s="2" t="s">
        <v>51</v>
      </c>
      <c r="L950" s="2">
        <v>42</v>
      </c>
      <c r="M950" t="str" cm="1">
        <f t="array" ref="M950">_xlfn.IFS(L950&lt;=14,"Short",L950&lt;=30,"Medium",L950&lt;=45,"Long",L950&lt;=60,"Very Long")</f>
        <v>Long</v>
      </c>
      <c r="N950" s="2" t="s">
        <v>41</v>
      </c>
      <c r="O950" s="3">
        <v>9.6999999999999993</v>
      </c>
    </row>
    <row r="951" spans="1:15" x14ac:dyDescent="0.25">
      <c r="A951" s="4" t="s">
        <v>1010</v>
      </c>
      <c r="B951" s="5">
        <v>75</v>
      </c>
      <c r="C951" t="str" cm="1">
        <f t="array" ref="C951">_xlfn.IFS(B951&lt;=30,"Young",B951&lt;=50,"Middle-aged",B951&gt;50,"Older")</f>
        <v>Older</v>
      </c>
      <c r="D951" s="5" t="s">
        <v>10</v>
      </c>
      <c r="E951" s="5" t="s">
        <v>24</v>
      </c>
      <c r="F951" s="5">
        <f t="shared" si="59"/>
        <v>0</v>
      </c>
      <c r="G951" s="5">
        <f t="shared" si="56"/>
        <v>0</v>
      </c>
      <c r="H951" s="5">
        <f t="shared" si="57"/>
        <v>1</v>
      </c>
      <c r="I951" s="5">
        <f t="shared" si="58"/>
        <v>0</v>
      </c>
      <c r="J951" s="5">
        <v>100</v>
      </c>
      <c r="K951" s="5" t="s">
        <v>59</v>
      </c>
      <c r="L951" s="5">
        <v>7</v>
      </c>
      <c r="M951" t="str" cm="1">
        <f t="array" ref="M951">_xlfn.IFS(L951&lt;=14,"Short",L951&lt;=30,"Medium",L951&lt;=45,"Long",L951&lt;=60,"Very Long")</f>
        <v>Short</v>
      </c>
      <c r="N951" s="5" t="s">
        <v>60</v>
      </c>
      <c r="O951" s="6">
        <v>8.1999999999999993</v>
      </c>
    </row>
    <row r="952" spans="1:15" x14ac:dyDescent="0.25">
      <c r="A952" s="1" t="s">
        <v>1011</v>
      </c>
      <c r="B952" s="2">
        <v>45</v>
      </c>
      <c r="C952" t="str" cm="1">
        <f t="array" ref="C952">_xlfn.IFS(B952&lt;=30,"Young",B952&lt;=50,"Middle-aged",B952&gt;50,"Older")</f>
        <v>Middle-aged</v>
      </c>
      <c r="D952" s="2" t="s">
        <v>10</v>
      </c>
      <c r="E952" s="2" t="s">
        <v>33</v>
      </c>
      <c r="F952" s="2">
        <f t="shared" si="59"/>
        <v>0</v>
      </c>
      <c r="G952" s="2">
        <f t="shared" si="56"/>
        <v>0</v>
      </c>
      <c r="H952" s="2">
        <f t="shared" si="57"/>
        <v>0</v>
      </c>
      <c r="I952" s="2">
        <f t="shared" si="58"/>
        <v>1</v>
      </c>
      <c r="J952" s="2">
        <v>500</v>
      </c>
      <c r="K952" s="2" t="s">
        <v>47</v>
      </c>
      <c r="L952" s="2">
        <v>20</v>
      </c>
      <c r="M952" t="str" cm="1">
        <f t="array" ref="M952">_xlfn.IFS(L952&lt;=14,"Short",L952&lt;=30,"Medium",L952&lt;=45,"Long",L952&lt;=60,"Very Long")</f>
        <v>Medium</v>
      </c>
      <c r="N952" s="2" t="s">
        <v>345</v>
      </c>
      <c r="O952" s="3">
        <v>7.7</v>
      </c>
    </row>
    <row r="953" spans="1:15" x14ac:dyDescent="0.25">
      <c r="A953" s="4" t="s">
        <v>1012</v>
      </c>
      <c r="B953" s="5">
        <v>53</v>
      </c>
      <c r="C953" t="str" cm="1">
        <f t="array" ref="C953">_xlfn.IFS(B953&lt;=30,"Young",B953&lt;=50,"Middle-aged",B953&gt;50,"Older")</f>
        <v>Older</v>
      </c>
      <c r="D953" s="5" t="s">
        <v>19</v>
      </c>
      <c r="E953" s="5" t="s">
        <v>24</v>
      </c>
      <c r="F953" s="5">
        <f t="shared" si="59"/>
        <v>0</v>
      </c>
      <c r="G953" s="5">
        <f t="shared" si="56"/>
        <v>0</v>
      </c>
      <c r="H953" s="5">
        <f t="shared" si="57"/>
        <v>1</v>
      </c>
      <c r="I953" s="5">
        <f t="shared" si="58"/>
        <v>0</v>
      </c>
      <c r="J953" s="5">
        <v>500</v>
      </c>
      <c r="K953" s="5" t="s">
        <v>39</v>
      </c>
      <c r="L953" s="5">
        <v>34</v>
      </c>
      <c r="M953" t="str" cm="1">
        <f t="array" ref="M953">_xlfn.IFS(L953&lt;=14,"Short",L953&lt;=30,"Medium",L953&lt;=45,"Long",L953&lt;=60,"Very Long")</f>
        <v>Long</v>
      </c>
      <c r="N953" s="5" t="s">
        <v>85</v>
      </c>
      <c r="O953" s="6">
        <v>7.6</v>
      </c>
    </row>
    <row r="954" spans="1:15" x14ac:dyDescent="0.25">
      <c r="A954" s="1" t="s">
        <v>1013</v>
      </c>
      <c r="B954" s="2">
        <v>43</v>
      </c>
      <c r="C954" t="str" cm="1">
        <f t="array" ref="C954">_xlfn.IFS(B954&lt;=30,"Young",B954&lt;=50,"Middle-aged",B954&gt;50,"Older")</f>
        <v>Middle-aged</v>
      </c>
      <c r="D954" s="2" t="s">
        <v>10</v>
      </c>
      <c r="E954" s="2" t="s">
        <v>33</v>
      </c>
      <c r="F954" s="2">
        <f t="shared" si="59"/>
        <v>0</v>
      </c>
      <c r="G954" s="2">
        <f t="shared" si="56"/>
        <v>0</v>
      </c>
      <c r="H954" s="2">
        <f t="shared" si="57"/>
        <v>0</v>
      </c>
      <c r="I954" s="2">
        <f t="shared" si="58"/>
        <v>1</v>
      </c>
      <c r="J954" s="2">
        <v>100</v>
      </c>
      <c r="K954" s="2" t="s">
        <v>34</v>
      </c>
      <c r="L954" s="2">
        <v>44</v>
      </c>
      <c r="M954" t="str" cm="1">
        <f t="array" ref="M954">_xlfn.IFS(L954&lt;=14,"Short",L954&lt;=30,"Medium",L954&lt;=45,"Long",L954&lt;=60,"Very Long")</f>
        <v>Long</v>
      </c>
      <c r="N954" s="2" t="s">
        <v>97</v>
      </c>
      <c r="O954" s="3">
        <v>7.6</v>
      </c>
    </row>
    <row r="955" spans="1:15" x14ac:dyDescent="0.25">
      <c r="A955" s="4" t="s">
        <v>1014</v>
      </c>
      <c r="B955" s="5">
        <v>25</v>
      </c>
      <c r="C955" t="str" cm="1">
        <f t="array" ref="C955">_xlfn.IFS(B955&lt;=30,"Young",B955&lt;=50,"Middle-aged",B955&gt;50,"Older")</f>
        <v>Young</v>
      </c>
      <c r="D955" s="5" t="s">
        <v>10</v>
      </c>
      <c r="E955" s="5" t="s">
        <v>33</v>
      </c>
      <c r="F955" s="5">
        <f t="shared" si="59"/>
        <v>0</v>
      </c>
      <c r="G955" s="5">
        <f t="shared" si="56"/>
        <v>0</v>
      </c>
      <c r="H955" s="5">
        <f t="shared" si="57"/>
        <v>0</v>
      </c>
      <c r="I955" s="5">
        <f t="shared" si="58"/>
        <v>1</v>
      </c>
      <c r="J955" s="5">
        <v>50</v>
      </c>
      <c r="K955" s="5" t="s">
        <v>47</v>
      </c>
      <c r="L955" s="5">
        <v>6</v>
      </c>
      <c r="M955" t="str" cm="1">
        <f t="array" ref="M955">_xlfn.IFS(L955&lt;=14,"Short",L955&lt;=30,"Medium",L955&lt;=45,"Long",L955&lt;=60,"Very Long")</f>
        <v>Short</v>
      </c>
      <c r="N955" s="5" t="s">
        <v>13</v>
      </c>
      <c r="O955" s="6">
        <v>4.0999999999999996</v>
      </c>
    </row>
    <row r="956" spans="1:15" x14ac:dyDescent="0.25">
      <c r="A956" s="1" t="s">
        <v>1015</v>
      </c>
      <c r="B956" s="2">
        <v>75</v>
      </c>
      <c r="C956" t="str" cm="1">
        <f t="array" ref="C956">_xlfn.IFS(B956&lt;=30,"Young",B956&lt;=50,"Middle-aged",B956&gt;50,"Older")</f>
        <v>Older</v>
      </c>
      <c r="D956" s="2" t="s">
        <v>10</v>
      </c>
      <c r="E956" s="2" t="s">
        <v>24</v>
      </c>
      <c r="F956" s="2">
        <f t="shared" si="59"/>
        <v>0</v>
      </c>
      <c r="G956" s="2">
        <f t="shared" si="56"/>
        <v>0</v>
      </c>
      <c r="H956" s="2">
        <f t="shared" si="57"/>
        <v>1</v>
      </c>
      <c r="I956" s="2">
        <f t="shared" si="58"/>
        <v>0</v>
      </c>
      <c r="J956" s="2">
        <v>250</v>
      </c>
      <c r="K956" s="2" t="s">
        <v>25</v>
      </c>
      <c r="L956" s="2">
        <v>21</v>
      </c>
      <c r="M956" t="str" cm="1">
        <f t="array" ref="M956">_xlfn.IFS(L956&lt;=14,"Short",L956&lt;=30,"Medium",L956&lt;=45,"Long",L956&lt;=60,"Very Long")</f>
        <v>Medium</v>
      </c>
      <c r="N956" s="2" t="s">
        <v>70</v>
      </c>
      <c r="O956" s="3">
        <v>6.6</v>
      </c>
    </row>
    <row r="957" spans="1:15" x14ac:dyDescent="0.25">
      <c r="A957" s="4" t="s">
        <v>1016</v>
      </c>
      <c r="B957" s="5">
        <v>77</v>
      </c>
      <c r="C957" t="str" cm="1">
        <f t="array" ref="C957">_xlfn.IFS(B957&lt;=30,"Young",B957&lt;=50,"Middle-aged",B957&gt;50,"Older")</f>
        <v>Older</v>
      </c>
      <c r="D957" s="5" t="s">
        <v>10</v>
      </c>
      <c r="E957" s="5" t="s">
        <v>20</v>
      </c>
      <c r="F957" s="5">
        <f t="shared" si="59"/>
        <v>0</v>
      </c>
      <c r="G957" s="5">
        <f t="shared" si="56"/>
        <v>1</v>
      </c>
      <c r="H957" s="5">
        <f t="shared" si="57"/>
        <v>0</v>
      </c>
      <c r="I957" s="5">
        <f t="shared" si="58"/>
        <v>0</v>
      </c>
      <c r="J957" s="5">
        <v>250</v>
      </c>
      <c r="K957" s="5" t="s">
        <v>21</v>
      </c>
      <c r="L957" s="5">
        <v>45</v>
      </c>
      <c r="M957" t="str" cm="1">
        <f t="array" ref="M957">_xlfn.IFS(L957&lt;=14,"Short",L957&lt;=30,"Medium",L957&lt;=45,"Long",L957&lt;=60,"Very Long")</f>
        <v>Long</v>
      </c>
      <c r="N957" s="5" t="s">
        <v>28</v>
      </c>
      <c r="O957" s="6">
        <v>8.3000000000000007</v>
      </c>
    </row>
    <row r="958" spans="1:15" x14ac:dyDescent="0.25">
      <c r="A958" s="1" t="s">
        <v>1017</v>
      </c>
      <c r="B958" s="2">
        <v>67</v>
      </c>
      <c r="C958" t="str" cm="1">
        <f t="array" ref="C958">_xlfn.IFS(B958&lt;=30,"Young",B958&lt;=50,"Middle-aged",B958&gt;50,"Older")</f>
        <v>Older</v>
      </c>
      <c r="D958" s="2" t="s">
        <v>10</v>
      </c>
      <c r="E958" s="2" t="s">
        <v>15</v>
      </c>
      <c r="F958" s="2">
        <f t="shared" si="59"/>
        <v>1</v>
      </c>
      <c r="G958" s="2">
        <f t="shared" si="56"/>
        <v>0</v>
      </c>
      <c r="H958" s="2">
        <f t="shared" si="57"/>
        <v>0</v>
      </c>
      <c r="I958" s="2">
        <f t="shared" si="58"/>
        <v>0</v>
      </c>
      <c r="J958" s="2">
        <v>500</v>
      </c>
      <c r="K958" s="2" t="s">
        <v>16</v>
      </c>
      <c r="L958" s="2">
        <v>16</v>
      </c>
      <c r="M958" t="str" cm="1">
        <f t="array" ref="M958">_xlfn.IFS(L958&lt;=14,"Short",L958&lt;=30,"Medium",L958&lt;=45,"Long",L958&lt;=60,"Very Long")</f>
        <v>Medium</v>
      </c>
      <c r="N958" s="2" t="s">
        <v>308</v>
      </c>
      <c r="O958" s="3">
        <v>6.9</v>
      </c>
    </row>
    <row r="959" spans="1:15" x14ac:dyDescent="0.25">
      <c r="A959" s="4" t="s">
        <v>1018</v>
      </c>
      <c r="B959" s="5">
        <v>45</v>
      </c>
      <c r="C959" t="str" cm="1">
        <f t="array" ref="C959">_xlfn.IFS(B959&lt;=30,"Young",B959&lt;=50,"Middle-aged",B959&gt;50,"Older")</f>
        <v>Middle-aged</v>
      </c>
      <c r="D959" s="5" t="s">
        <v>19</v>
      </c>
      <c r="E959" s="5" t="s">
        <v>11</v>
      </c>
      <c r="F959" s="5">
        <f t="shared" si="59"/>
        <v>0</v>
      </c>
      <c r="G959" s="5">
        <f t="shared" si="56"/>
        <v>0</v>
      </c>
      <c r="H959" s="5">
        <f t="shared" si="57"/>
        <v>0</v>
      </c>
      <c r="I959" s="5">
        <f t="shared" si="58"/>
        <v>0</v>
      </c>
      <c r="J959" s="5">
        <v>850</v>
      </c>
      <c r="K959" s="5" t="s">
        <v>12</v>
      </c>
      <c r="L959" s="5">
        <v>39</v>
      </c>
      <c r="M959" t="str" cm="1">
        <f t="array" ref="M959">_xlfn.IFS(L959&lt;=14,"Short",L959&lt;=30,"Medium",L959&lt;=45,"Long",L959&lt;=60,"Very Long")</f>
        <v>Long</v>
      </c>
      <c r="N959" s="5" t="s">
        <v>13</v>
      </c>
      <c r="O959" s="6">
        <v>4.9000000000000004</v>
      </c>
    </row>
    <row r="960" spans="1:15" x14ac:dyDescent="0.25">
      <c r="A960" s="1" t="s">
        <v>1019</v>
      </c>
      <c r="B960" s="2">
        <v>45</v>
      </c>
      <c r="C960" t="str" cm="1">
        <f t="array" ref="C960">_xlfn.IFS(B960&lt;=30,"Young",B960&lt;=50,"Middle-aged",B960&gt;50,"Older")</f>
        <v>Middle-aged</v>
      </c>
      <c r="D960" s="2" t="s">
        <v>10</v>
      </c>
      <c r="E960" s="2" t="s">
        <v>33</v>
      </c>
      <c r="F960" s="2">
        <f t="shared" si="59"/>
        <v>0</v>
      </c>
      <c r="G960" s="2">
        <f t="shared" si="56"/>
        <v>0</v>
      </c>
      <c r="H960" s="2">
        <f t="shared" si="57"/>
        <v>0</v>
      </c>
      <c r="I960" s="2">
        <f t="shared" si="58"/>
        <v>1</v>
      </c>
      <c r="J960" s="2">
        <v>50</v>
      </c>
      <c r="K960" s="2" t="s">
        <v>34</v>
      </c>
      <c r="L960" s="2">
        <v>47</v>
      </c>
      <c r="M960" t="str" cm="1">
        <f t="array" ref="M960">_xlfn.IFS(L960&lt;=14,"Short",L960&lt;=30,"Medium",L960&lt;=45,"Long",L960&lt;=60,"Very Long")</f>
        <v>Very Long</v>
      </c>
      <c r="N960" s="2" t="s">
        <v>95</v>
      </c>
      <c r="O960" s="3">
        <v>6.9</v>
      </c>
    </row>
    <row r="961" spans="1:15" x14ac:dyDescent="0.25">
      <c r="A961" s="4" t="s">
        <v>1020</v>
      </c>
      <c r="B961" s="5">
        <v>54</v>
      </c>
      <c r="C961" t="str" cm="1">
        <f t="array" ref="C961">_xlfn.IFS(B961&lt;=30,"Young",B961&lt;=50,"Middle-aged",B961&gt;50,"Older")</f>
        <v>Older</v>
      </c>
      <c r="D961" s="5" t="s">
        <v>10</v>
      </c>
      <c r="E961" s="5" t="s">
        <v>11</v>
      </c>
      <c r="F961" s="5">
        <f t="shared" si="59"/>
        <v>0</v>
      </c>
      <c r="G961" s="5">
        <f t="shared" si="56"/>
        <v>0</v>
      </c>
      <c r="H961" s="5">
        <f t="shared" si="57"/>
        <v>0</v>
      </c>
      <c r="I961" s="5">
        <f t="shared" si="58"/>
        <v>0</v>
      </c>
      <c r="J961" s="5">
        <v>50</v>
      </c>
      <c r="K961" s="5" t="s">
        <v>84</v>
      </c>
      <c r="L961" s="5">
        <v>5</v>
      </c>
      <c r="M961" t="str" cm="1">
        <f t="array" ref="M961">_xlfn.IFS(L961&lt;=14,"Short",L961&lt;=30,"Medium",L961&lt;=45,"Long",L961&lt;=60,"Very Long")</f>
        <v>Short</v>
      </c>
      <c r="N961" s="5" t="s">
        <v>97</v>
      </c>
      <c r="O961" s="6">
        <v>9.6</v>
      </c>
    </row>
    <row r="962" spans="1:15" x14ac:dyDescent="0.25">
      <c r="A962" s="1" t="s">
        <v>1021</v>
      </c>
      <c r="B962" s="2">
        <v>58</v>
      </c>
      <c r="C962" t="str" cm="1">
        <f t="array" ref="C962">_xlfn.IFS(B962&lt;=30,"Young",B962&lt;=50,"Middle-aged",B962&gt;50,"Older")</f>
        <v>Older</v>
      </c>
      <c r="D962" s="2" t="s">
        <v>10</v>
      </c>
      <c r="E962" s="2" t="s">
        <v>24</v>
      </c>
      <c r="F962" s="2">
        <f t="shared" si="59"/>
        <v>0</v>
      </c>
      <c r="G962" s="2">
        <f t="shared" ref="G962:G1001" si="60">IF($E962="Depression",1,0)</f>
        <v>0</v>
      </c>
      <c r="H962" s="2">
        <f t="shared" ref="H962:H1001" si="61">IF($E962="Diabetes",1,0)</f>
        <v>1</v>
      </c>
      <c r="I962" s="2">
        <f t="shared" ref="I962:I1001" si="62">IF($E962="Pain relief",1,0)</f>
        <v>0</v>
      </c>
      <c r="J962" s="2">
        <v>100</v>
      </c>
      <c r="K962" s="2" t="s">
        <v>59</v>
      </c>
      <c r="L962" s="2">
        <v>59</v>
      </c>
      <c r="M962" t="str" cm="1">
        <f t="array" ref="M962">_xlfn.IFS(L962&lt;=14,"Short",L962&lt;=30,"Medium",L962&lt;=45,"Long",L962&lt;=60,"Very Long")</f>
        <v>Very Long</v>
      </c>
      <c r="N962" s="2" t="s">
        <v>60</v>
      </c>
      <c r="O962" s="3">
        <v>8.9</v>
      </c>
    </row>
    <row r="963" spans="1:15" x14ac:dyDescent="0.25">
      <c r="A963" s="4" t="s">
        <v>1022</v>
      </c>
      <c r="B963" s="5">
        <v>53</v>
      </c>
      <c r="C963" t="str" cm="1">
        <f t="array" ref="C963">_xlfn.IFS(B963&lt;=30,"Young",B963&lt;=50,"Middle-aged",B963&gt;50,"Older")</f>
        <v>Older</v>
      </c>
      <c r="D963" s="5" t="s">
        <v>10</v>
      </c>
      <c r="E963" s="5" t="s">
        <v>11</v>
      </c>
      <c r="F963" s="5">
        <f t="shared" ref="F963:F1001" si="63">IF($E963="Hypertension",1,0)</f>
        <v>0</v>
      </c>
      <c r="G963" s="5">
        <f t="shared" si="60"/>
        <v>0</v>
      </c>
      <c r="H963" s="5">
        <f t="shared" si="61"/>
        <v>0</v>
      </c>
      <c r="I963" s="5">
        <f t="shared" si="62"/>
        <v>0</v>
      </c>
      <c r="J963" s="5">
        <v>500</v>
      </c>
      <c r="K963" s="5" t="s">
        <v>51</v>
      </c>
      <c r="L963" s="5">
        <v>49</v>
      </c>
      <c r="M963" t="str" cm="1">
        <f t="array" ref="M963">_xlfn.IFS(L963&lt;=14,"Short",L963&lt;=30,"Medium",L963&lt;=45,"Long",L963&lt;=60,"Very Long")</f>
        <v>Very Long</v>
      </c>
      <c r="N963" s="5" t="s">
        <v>13</v>
      </c>
      <c r="O963" s="6">
        <v>6.9</v>
      </c>
    </row>
    <row r="964" spans="1:15" x14ac:dyDescent="0.25">
      <c r="A964" s="1" t="s">
        <v>1023</v>
      </c>
      <c r="B964" s="2">
        <v>44</v>
      </c>
      <c r="C964" t="str" cm="1">
        <f t="array" ref="C964">_xlfn.IFS(B964&lt;=30,"Young",B964&lt;=50,"Middle-aged",B964&gt;50,"Older")</f>
        <v>Middle-aged</v>
      </c>
      <c r="D964" s="2" t="s">
        <v>19</v>
      </c>
      <c r="E964" s="2" t="s">
        <v>24</v>
      </c>
      <c r="F964" s="2">
        <f t="shared" si="63"/>
        <v>0</v>
      </c>
      <c r="G964" s="2">
        <f t="shared" si="60"/>
        <v>0</v>
      </c>
      <c r="H964" s="2">
        <f t="shared" si="61"/>
        <v>1</v>
      </c>
      <c r="I964" s="2">
        <f t="shared" si="62"/>
        <v>0</v>
      </c>
      <c r="J964" s="2">
        <v>250</v>
      </c>
      <c r="K964" s="2" t="s">
        <v>25</v>
      </c>
      <c r="L964" s="2">
        <v>19</v>
      </c>
      <c r="M964" t="str" cm="1">
        <f t="array" ref="M964">_xlfn.IFS(L964&lt;=14,"Short",L964&lt;=30,"Medium",L964&lt;=45,"Long",L964&lt;=60,"Very Long")</f>
        <v>Medium</v>
      </c>
      <c r="N964" s="2" t="s">
        <v>13</v>
      </c>
      <c r="O964" s="3">
        <v>8.4</v>
      </c>
    </row>
    <row r="965" spans="1:15" x14ac:dyDescent="0.25">
      <c r="A965" s="4" t="s">
        <v>1024</v>
      </c>
      <c r="B965" s="5">
        <v>71</v>
      </c>
      <c r="C965" t="str" cm="1">
        <f t="array" ref="C965">_xlfn.IFS(B965&lt;=30,"Young",B965&lt;=50,"Middle-aged",B965&gt;50,"Older")</f>
        <v>Older</v>
      </c>
      <c r="D965" s="5" t="s">
        <v>19</v>
      </c>
      <c r="E965" s="5" t="s">
        <v>11</v>
      </c>
      <c r="F965" s="5">
        <f t="shared" si="63"/>
        <v>0</v>
      </c>
      <c r="G965" s="5">
        <f t="shared" si="60"/>
        <v>0</v>
      </c>
      <c r="H965" s="5">
        <f t="shared" si="61"/>
        <v>0</v>
      </c>
      <c r="I965" s="5">
        <f t="shared" si="62"/>
        <v>0</v>
      </c>
      <c r="J965" s="5">
        <v>250</v>
      </c>
      <c r="K965" s="5" t="s">
        <v>84</v>
      </c>
      <c r="L965" s="5">
        <v>30</v>
      </c>
      <c r="M965" t="str" cm="1">
        <f t="array" ref="M965">_xlfn.IFS(L965&lt;=14,"Short",L965&lt;=30,"Medium",L965&lt;=45,"Long",L965&lt;=60,"Very Long")</f>
        <v>Medium</v>
      </c>
      <c r="N965" s="5" t="s">
        <v>85</v>
      </c>
      <c r="O965" s="6">
        <v>6.5</v>
      </c>
    </row>
    <row r="966" spans="1:15" x14ac:dyDescent="0.25">
      <c r="A966" s="1" t="s">
        <v>1025</v>
      </c>
      <c r="B966" s="2">
        <v>34</v>
      </c>
      <c r="C966" t="str" cm="1">
        <f t="array" ref="C966">_xlfn.IFS(B966&lt;=30,"Young",B966&lt;=50,"Middle-aged",B966&gt;50,"Older")</f>
        <v>Middle-aged</v>
      </c>
      <c r="D966" s="2" t="s">
        <v>19</v>
      </c>
      <c r="E966" s="2" t="s">
        <v>15</v>
      </c>
      <c r="F966" s="2">
        <f t="shared" si="63"/>
        <v>1</v>
      </c>
      <c r="G966" s="2">
        <f t="shared" si="60"/>
        <v>0</v>
      </c>
      <c r="H966" s="2">
        <f t="shared" si="61"/>
        <v>0</v>
      </c>
      <c r="I966" s="2">
        <f t="shared" si="62"/>
        <v>0</v>
      </c>
      <c r="J966" s="2">
        <v>100</v>
      </c>
      <c r="K966" s="2" t="s">
        <v>16</v>
      </c>
      <c r="L966" s="2">
        <v>41</v>
      </c>
      <c r="M966" t="str" cm="1">
        <f t="array" ref="M966">_xlfn.IFS(L966&lt;=14,"Short",L966&lt;=30,"Medium",L966&lt;=45,"Long",L966&lt;=60,"Very Long")</f>
        <v>Long</v>
      </c>
      <c r="N966" s="2" t="s">
        <v>17</v>
      </c>
      <c r="O966" s="3">
        <v>4.4000000000000004</v>
      </c>
    </row>
    <row r="967" spans="1:15" x14ac:dyDescent="0.25">
      <c r="A967" s="4" t="s">
        <v>1026</v>
      </c>
      <c r="B967" s="5">
        <v>26</v>
      </c>
      <c r="C967" t="str" cm="1">
        <f t="array" ref="C967">_xlfn.IFS(B967&lt;=30,"Young",B967&lt;=50,"Middle-aged",B967&gt;50,"Older")</f>
        <v>Young</v>
      </c>
      <c r="D967" s="5" t="s">
        <v>19</v>
      </c>
      <c r="E967" s="5" t="s">
        <v>15</v>
      </c>
      <c r="F967" s="5">
        <f t="shared" si="63"/>
        <v>1</v>
      </c>
      <c r="G967" s="5">
        <f t="shared" si="60"/>
        <v>0</v>
      </c>
      <c r="H967" s="5">
        <f t="shared" si="61"/>
        <v>0</v>
      </c>
      <c r="I967" s="5">
        <f t="shared" si="62"/>
        <v>0</v>
      </c>
      <c r="J967" s="5">
        <v>50</v>
      </c>
      <c r="K967" s="5" t="s">
        <v>63</v>
      </c>
      <c r="L967" s="5">
        <v>25</v>
      </c>
      <c r="M967" t="str" cm="1">
        <f t="array" ref="M967">_xlfn.IFS(L967&lt;=14,"Short",L967&lt;=30,"Medium",L967&lt;=45,"Long",L967&lt;=60,"Very Long")</f>
        <v>Medium</v>
      </c>
      <c r="N967" s="5" t="s">
        <v>64</v>
      </c>
      <c r="O967" s="6">
        <v>5.6</v>
      </c>
    </row>
    <row r="968" spans="1:15" x14ac:dyDescent="0.25">
      <c r="A968" s="1" t="s">
        <v>1027</v>
      </c>
      <c r="B968" s="2">
        <v>50</v>
      </c>
      <c r="C968" t="str" cm="1">
        <f t="array" ref="C968">_xlfn.IFS(B968&lt;=30,"Young",B968&lt;=50,"Middle-aged",B968&gt;50,"Older")</f>
        <v>Middle-aged</v>
      </c>
      <c r="D968" s="2" t="s">
        <v>10</v>
      </c>
      <c r="E968" s="2" t="s">
        <v>15</v>
      </c>
      <c r="F968" s="2">
        <f t="shared" si="63"/>
        <v>1</v>
      </c>
      <c r="G968" s="2">
        <f t="shared" si="60"/>
        <v>0</v>
      </c>
      <c r="H968" s="2">
        <f t="shared" si="61"/>
        <v>0</v>
      </c>
      <c r="I968" s="2">
        <f t="shared" si="62"/>
        <v>0</v>
      </c>
      <c r="J968" s="2">
        <v>500</v>
      </c>
      <c r="K968" s="2" t="s">
        <v>44</v>
      </c>
      <c r="L968" s="2">
        <v>53</v>
      </c>
      <c r="M968" t="str" cm="1">
        <f t="array" ref="M968">_xlfn.IFS(L968&lt;=14,"Short",L968&lt;=30,"Medium",L968&lt;=45,"Long",L968&lt;=60,"Very Long")</f>
        <v>Very Long</v>
      </c>
      <c r="N968" s="2" t="s">
        <v>95</v>
      </c>
      <c r="O968" s="3">
        <v>9.3000000000000007</v>
      </c>
    </row>
    <row r="969" spans="1:15" x14ac:dyDescent="0.25">
      <c r="A969" s="4" t="s">
        <v>1028</v>
      </c>
      <c r="B969" s="5">
        <v>70</v>
      </c>
      <c r="C969" t="str" cm="1">
        <f t="array" ref="C969">_xlfn.IFS(B969&lt;=30,"Young",B969&lt;=50,"Middle-aged",B969&gt;50,"Older")</f>
        <v>Older</v>
      </c>
      <c r="D969" s="5" t="s">
        <v>19</v>
      </c>
      <c r="E969" s="5" t="s">
        <v>15</v>
      </c>
      <c r="F969" s="5">
        <f t="shared" si="63"/>
        <v>1</v>
      </c>
      <c r="G969" s="5">
        <f t="shared" si="60"/>
        <v>0</v>
      </c>
      <c r="H969" s="5">
        <f t="shared" si="61"/>
        <v>0</v>
      </c>
      <c r="I969" s="5">
        <f t="shared" si="62"/>
        <v>0</v>
      </c>
      <c r="J969" s="5">
        <v>850</v>
      </c>
      <c r="K969" s="5" t="s">
        <v>44</v>
      </c>
      <c r="L969" s="5">
        <v>35</v>
      </c>
      <c r="M969" t="str" cm="1">
        <f t="array" ref="M969">_xlfn.IFS(L969&lt;=14,"Short",L969&lt;=30,"Medium",L969&lt;=45,"Long",L969&lt;=60,"Very Long")</f>
        <v>Long</v>
      </c>
      <c r="N969" s="5" t="s">
        <v>30</v>
      </c>
      <c r="O969" s="6">
        <v>6.6</v>
      </c>
    </row>
    <row r="970" spans="1:15" x14ac:dyDescent="0.25">
      <c r="A970" s="1" t="s">
        <v>1029</v>
      </c>
      <c r="B970" s="2">
        <v>37</v>
      </c>
      <c r="C970" t="str" cm="1">
        <f t="array" ref="C970">_xlfn.IFS(B970&lt;=30,"Young",B970&lt;=50,"Middle-aged",B970&gt;50,"Older")</f>
        <v>Middle-aged</v>
      </c>
      <c r="D970" s="2" t="s">
        <v>10</v>
      </c>
      <c r="E970" s="2" t="s">
        <v>15</v>
      </c>
      <c r="F970" s="2">
        <f t="shared" si="63"/>
        <v>1</v>
      </c>
      <c r="G970" s="2">
        <f t="shared" si="60"/>
        <v>0</v>
      </c>
      <c r="H970" s="2">
        <f t="shared" si="61"/>
        <v>0</v>
      </c>
      <c r="I970" s="2">
        <f t="shared" si="62"/>
        <v>0</v>
      </c>
      <c r="J970" s="2">
        <v>500</v>
      </c>
      <c r="K970" s="2" t="s">
        <v>44</v>
      </c>
      <c r="L970" s="2">
        <v>29</v>
      </c>
      <c r="M970" t="str" cm="1">
        <f t="array" ref="M970">_xlfn.IFS(L970&lt;=14,"Short",L970&lt;=30,"Medium",L970&lt;=45,"Long",L970&lt;=60,"Very Long")</f>
        <v>Medium</v>
      </c>
      <c r="N970" s="2" t="s">
        <v>30</v>
      </c>
      <c r="O970" s="3">
        <v>6.6</v>
      </c>
    </row>
    <row r="971" spans="1:15" x14ac:dyDescent="0.25">
      <c r="A971" s="4" t="s">
        <v>1030</v>
      </c>
      <c r="B971" s="5">
        <v>30</v>
      </c>
      <c r="C971" t="str" cm="1">
        <f t="array" ref="C971">_xlfn.IFS(B971&lt;=30,"Young",B971&lt;=50,"Middle-aged",B971&gt;50,"Older")</f>
        <v>Young</v>
      </c>
      <c r="D971" s="5" t="s">
        <v>10</v>
      </c>
      <c r="E971" s="5" t="s">
        <v>15</v>
      </c>
      <c r="F971" s="5">
        <f t="shared" si="63"/>
        <v>1</v>
      </c>
      <c r="G971" s="5">
        <f t="shared" si="60"/>
        <v>0</v>
      </c>
      <c r="H971" s="5">
        <f t="shared" si="61"/>
        <v>0</v>
      </c>
      <c r="I971" s="5">
        <f t="shared" si="62"/>
        <v>0</v>
      </c>
      <c r="J971" s="5">
        <v>500</v>
      </c>
      <c r="K971" s="5" t="s">
        <v>63</v>
      </c>
      <c r="L971" s="5">
        <v>27</v>
      </c>
      <c r="M971" t="str" cm="1">
        <f t="array" ref="M971">_xlfn.IFS(L971&lt;=14,"Short",L971&lt;=30,"Medium",L971&lt;=45,"Long",L971&lt;=60,"Very Long")</f>
        <v>Medium</v>
      </c>
      <c r="N971" s="5" t="s">
        <v>64</v>
      </c>
      <c r="O971" s="6">
        <v>6.6</v>
      </c>
    </row>
    <row r="972" spans="1:15" x14ac:dyDescent="0.25">
      <c r="A972" s="1" t="s">
        <v>1031</v>
      </c>
      <c r="B972" s="2">
        <v>45</v>
      </c>
      <c r="C972" t="str" cm="1">
        <f t="array" ref="C972">_xlfn.IFS(B972&lt;=30,"Young",B972&lt;=50,"Middle-aged",B972&gt;50,"Older")</f>
        <v>Middle-aged</v>
      </c>
      <c r="D972" s="2" t="s">
        <v>10</v>
      </c>
      <c r="E972" s="2" t="s">
        <v>24</v>
      </c>
      <c r="F972" s="2">
        <f t="shared" si="63"/>
        <v>0</v>
      </c>
      <c r="G972" s="2">
        <f t="shared" si="60"/>
        <v>0</v>
      </c>
      <c r="H972" s="2">
        <f t="shared" si="61"/>
        <v>1</v>
      </c>
      <c r="I972" s="2">
        <f t="shared" si="62"/>
        <v>0</v>
      </c>
      <c r="J972" s="2">
        <v>50</v>
      </c>
      <c r="K972" s="2" t="s">
        <v>39</v>
      </c>
      <c r="L972" s="2">
        <v>28</v>
      </c>
      <c r="M972" t="str" cm="1">
        <f t="array" ref="M972">_xlfn.IFS(L972&lt;=14,"Short",L972&lt;=30,"Medium",L972&lt;=45,"Long",L972&lt;=60,"Very Long")</f>
        <v>Medium</v>
      </c>
      <c r="N972" s="2" t="s">
        <v>136</v>
      </c>
      <c r="O972" s="3">
        <v>9.9</v>
      </c>
    </row>
    <row r="973" spans="1:15" x14ac:dyDescent="0.25">
      <c r="A973" s="4" t="s">
        <v>1032</v>
      </c>
      <c r="B973" s="5">
        <v>65</v>
      </c>
      <c r="C973" t="str" cm="1">
        <f t="array" ref="C973">_xlfn.IFS(B973&lt;=30,"Young",B973&lt;=50,"Middle-aged",B973&gt;50,"Older")</f>
        <v>Older</v>
      </c>
      <c r="D973" s="5" t="s">
        <v>10</v>
      </c>
      <c r="E973" s="5" t="s">
        <v>33</v>
      </c>
      <c r="F973" s="5">
        <f t="shared" si="63"/>
        <v>0</v>
      </c>
      <c r="G973" s="5">
        <f t="shared" si="60"/>
        <v>0</v>
      </c>
      <c r="H973" s="5">
        <f t="shared" si="61"/>
        <v>0</v>
      </c>
      <c r="I973" s="5">
        <f t="shared" si="62"/>
        <v>1</v>
      </c>
      <c r="J973" s="5">
        <v>250</v>
      </c>
      <c r="K973" s="5" t="s">
        <v>49</v>
      </c>
      <c r="L973" s="5">
        <v>42</v>
      </c>
      <c r="M973" t="str" cm="1">
        <f t="array" ref="M973">_xlfn.IFS(L973&lt;=14,"Short",L973&lt;=30,"Medium",L973&lt;=45,"Long",L973&lt;=60,"Very Long")</f>
        <v>Long</v>
      </c>
      <c r="N973" s="5" t="s">
        <v>30</v>
      </c>
      <c r="O973" s="6">
        <v>9.4</v>
      </c>
    </row>
    <row r="974" spans="1:15" x14ac:dyDescent="0.25">
      <c r="A974" s="1" t="s">
        <v>1033</v>
      </c>
      <c r="B974" s="2">
        <v>46</v>
      </c>
      <c r="C974" t="str" cm="1">
        <f t="array" ref="C974">_xlfn.IFS(B974&lt;=30,"Young",B974&lt;=50,"Middle-aged",B974&gt;50,"Older")</f>
        <v>Middle-aged</v>
      </c>
      <c r="D974" s="2" t="s">
        <v>10</v>
      </c>
      <c r="E974" s="2" t="s">
        <v>11</v>
      </c>
      <c r="F974" s="2">
        <f t="shared" si="63"/>
        <v>0</v>
      </c>
      <c r="G974" s="2">
        <f t="shared" si="60"/>
        <v>0</v>
      </c>
      <c r="H974" s="2">
        <f t="shared" si="61"/>
        <v>0</v>
      </c>
      <c r="I974" s="2">
        <f t="shared" si="62"/>
        <v>0</v>
      </c>
      <c r="J974" s="2">
        <v>100</v>
      </c>
      <c r="K974" s="2" t="s">
        <v>12</v>
      </c>
      <c r="L974" s="2">
        <v>32</v>
      </c>
      <c r="M974" t="str" cm="1">
        <f t="array" ref="M974">_xlfn.IFS(L974&lt;=14,"Short",L974&lt;=30,"Medium",L974&lt;=45,"Long",L974&lt;=60,"Very Long")</f>
        <v>Long</v>
      </c>
      <c r="N974" s="2" t="s">
        <v>30</v>
      </c>
      <c r="O974" s="3">
        <v>10</v>
      </c>
    </row>
    <row r="975" spans="1:15" x14ac:dyDescent="0.25">
      <c r="A975" s="4" t="s">
        <v>1034</v>
      </c>
      <c r="B975" s="5">
        <v>30</v>
      </c>
      <c r="C975" t="str" cm="1">
        <f t="array" ref="C975">_xlfn.IFS(B975&lt;=30,"Young",B975&lt;=50,"Middle-aged",B975&gt;50,"Older")</f>
        <v>Young</v>
      </c>
      <c r="D975" s="5" t="s">
        <v>19</v>
      </c>
      <c r="E975" s="5" t="s">
        <v>15</v>
      </c>
      <c r="F975" s="5">
        <f t="shared" si="63"/>
        <v>1</v>
      </c>
      <c r="G975" s="5">
        <f t="shared" si="60"/>
        <v>0</v>
      </c>
      <c r="H975" s="5">
        <f t="shared" si="61"/>
        <v>0</v>
      </c>
      <c r="I975" s="5">
        <f t="shared" si="62"/>
        <v>0</v>
      </c>
      <c r="J975" s="5">
        <v>850</v>
      </c>
      <c r="K975" s="5" t="s">
        <v>44</v>
      </c>
      <c r="L975" s="5">
        <v>25</v>
      </c>
      <c r="M975" t="str" cm="1">
        <f t="array" ref="M975">_xlfn.IFS(L975&lt;=14,"Short",L975&lt;=30,"Medium",L975&lt;=45,"Long",L975&lt;=60,"Very Long")</f>
        <v>Medium</v>
      </c>
      <c r="N975" s="5" t="s">
        <v>101</v>
      </c>
      <c r="O975" s="6">
        <v>6.8</v>
      </c>
    </row>
    <row r="976" spans="1:15" x14ac:dyDescent="0.25">
      <c r="A976" s="1" t="s">
        <v>1035</v>
      </c>
      <c r="B976" s="2">
        <v>63</v>
      </c>
      <c r="C976" t="str" cm="1">
        <f t="array" ref="C976">_xlfn.IFS(B976&lt;=30,"Young",B976&lt;=50,"Middle-aged",B976&gt;50,"Older")</f>
        <v>Older</v>
      </c>
      <c r="D976" s="2" t="s">
        <v>19</v>
      </c>
      <c r="E976" s="2" t="s">
        <v>24</v>
      </c>
      <c r="F976" s="2">
        <f t="shared" si="63"/>
        <v>0</v>
      </c>
      <c r="G976" s="2">
        <f t="shared" si="60"/>
        <v>0</v>
      </c>
      <c r="H976" s="2">
        <f t="shared" si="61"/>
        <v>1</v>
      </c>
      <c r="I976" s="2">
        <f t="shared" si="62"/>
        <v>0</v>
      </c>
      <c r="J976" s="2">
        <v>50</v>
      </c>
      <c r="K976" s="2" t="s">
        <v>39</v>
      </c>
      <c r="L976" s="2">
        <v>58</v>
      </c>
      <c r="M976" t="str" cm="1">
        <f t="array" ref="M976">_xlfn.IFS(L976&lt;=14,"Short",L976&lt;=30,"Medium",L976&lt;=45,"Long",L976&lt;=60,"Very Long")</f>
        <v>Very Long</v>
      </c>
      <c r="N976" s="2" t="s">
        <v>13</v>
      </c>
      <c r="O976" s="3">
        <v>7.4</v>
      </c>
    </row>
    <row r="977" spans="1:15" x14ac:dyDescent="0.25">
      <c r="A977" s="4" t="s">
        <v>1036</v>
      </c>
      <c r="B977" s="5">
        <v>52</v>
      </c>
      <c r="C977" t="str" cm="1">
        <f t="array" ref="C977">_xlfn.IFS(B977&lt;=30,"Young",B977&lt;=50,"Middle-aged",B977&gt;50,"Older")</f>
        <v>Older</v>
      </c>
      <c r="D977" s="5" t="s">
        <v>19</v>
      </c>
      <c r="E977" s="5" t="s">
        <v>24</v>
      </c>
      <c r="F977" s="5">
        <f t="shared" si="63"/>
        <v>0</v>
      </c>
      <c r="G977" s="5">
        <f t="shared" si="60"/>
        <v>0</v>
      </c>
      <c r="H977" s="5">
        <f t="shared" si="61"/>
        <v>1</v>
      </c>
      <c r="I977" s="5">
        <f t="shared" si="62"/>
        <v>0</v>
      </c>
      <c r="J977" s="5">
        <v>50</v>
      </c>
      <c r="K977" s="5" t="s">
        <v>39</v>
      </c>
      <c r="L977" s="5">
        <v>47</v>
      </c>
      <c r="M977" t="str" cm="1">
        <f t="array" ref="M977">_xlfn.IFS(L977&lt;=14,"Short",L977&lt;=30,"Medium",L977&lt;=45,"Long",L977&lt;=60,"Very Long")</f>
        <v>Very Long</v>
      </c>
      <c r="N977" s="5" t="s">
        <v>136</v>
      </c>
      <c r="O977" s="6">
        <v>4.7</v>
      </c>
    </row>
    <row r="978" spans="1:15" x14ac:dyDescent="0.25">
      <c r="A978" s="1" t="s">
        <v>1037</v>
      </c>
      <c r="B978" s="2">
        <v>78</v>
      </c>
      <c r="C978" t="str" cm="1">
        <f t="array" ref="C978">_xlfn.IFS(B978&lt;=30,"Young",B978&lt;=50,"Middle-aged",B978&gt;50,"Older")</f>
        <v>Older</v>
      </c>
      <c r="D978" s="2" t="s">
        <v>19</v>
      </c>
      <c r="E978" s="2" t="s">
        <v>24</v>
      </c>
      <c r="F978" s="2">
        <f t="shared" si="63"/>
        <v>0</v>
      </c>
      <c r="G978" s="2">
        <f t="shared" si="60"/>
        <v>0</v>
      </c>
      <c r="H978" s="2">
        <f t="shared" si="61"/>
        <v>1</v>
      </c>
      <c r="I978" s="2">
        <f t="shared" si="62"/>
        <v>0</v>
      </c>
      <c r="J978" s="2">
        <v>500</v>
      </c>
      <c r="K978" s="2" t="s">
        <v>39</v>
      </c>
      <c r="L978" s="2">
        <v>22</v>
      </c>
      <c r="M978" t="str" cm="1">
        <f t="array" ref="M978">_xlfn.IFS(L978&lt;=14,"Short",L978&lt;=30,"Medium",L978&lt;=45,"Long",L978&lt;=60,"Very Long")</f>
        <v>Medium</v>
      </c>
      <c r="N978" s="2" t="s">
        <v>13</v>
      </c>
      <c r="O978" s="3">
        <v>9.1999999999999993</v>
      </c>
    </row>
    <row r="979" spans="1:15" x14ac:dyDescent="0.25">
      <c r="A979" s="4" t="s">
        <v>1038</v>
      </c>
      <c r="B979" s="5">
        <v>23</v>
      </c>
      <c r="C979" t="str" cm="1">
        <f t="array" ref="C979">_xlfn.IFS(B979&lt;=30,"Young",B979&lt;=50,"Middle-aged",B979&gt;50,"Older")</f>
        <v>Young</v>
      </c>
      <c r="D979" s="5" t="s">
        <v>10</v>
      </c>
      <c r="E979" s="5" t="s">
        <v>33</v>
      </c>
      <c r="F979" s="5">
        <f t="shared" si="63"/>
        <v>0</v>
      </c>
      <c r="G979" s="5">
        <f t="shared" si="60"/>
        <v>0</v>
      </c>
      <c r="H979" s="5">
        <f t="shared" si="61"/>
        <v>0</v>
      </c>
      <c r="I979" s="5">
        <f t="shared" si="62"/>
        <v>1</v>
      </c>
      <c r="J979" s="5">
        <v>50</v>
      </c>
      <c r="K979" s="5" t="s">
        <v>49</v>
      </c>
      <c r="L979" s="5">
        <v>40</v>
      </c>
      <c r="M979" t="str" cm="1">
        <f t="array" ref="M979">_xlfn.IFS(L979&lt;=14,"Short",L979&lt;=30,"Medium",L979&lt;=45,"Long",L979&lt;=60,"Very Long")</f>
        <v>Long</v>
      </c>
      <c r="N979" s="5" t="s">
        <v>91</v>
      </c>
      <c r="O979" s="6">
        <v>5.2</v>
      </c>
    </row>
    <row r="980" spans="1:15" x14ac:dyDescent="0.25">
      <c r="A980" s="1" t="s">
        <v>1039</v>
      </c>
      <c r="B980" s="2">
        <v>35</v>
      </c>
      <c r="C980" t="str" cm="1">
        <f t="array" ref="C980">_xlfn.IFS(B980&lt;=30,"Young",B980&lt;=50,"Middle-aged",B980&gt;50,"Older")</f>
        <v>Middle-aged</v>
      </c>
      <c r="D980" s="2" t="s">
        <v>19</v>
      </c>
      <c r="E980" s="2" t="s">
        <v>11</v>
      </c>
      <c r="F980" s="2">
        <f t="shared" si="63"/>
        <v>0</v>
      </c>
      <c r="G980" s="2">
        <f t="shared" si="60"/>
        <v>0</v>
      </c>
      <c r="H980" s="2">
        <f t="shared" si="61"/>
        <v>0</v>
      </c>
      <c r="I980" s="2">
        <f t="shared" si="62"/>
        <v>0</v>
      </c>
      <c r="J980" s="2">
        <v>100</v>
      </c>
      <c r="K980" s="2" t="s">
        <v>84</v>
      </c>
      <c r="L980" s="2">
        <v>39</v>
      </c>
      <c r="M980" t="str" cm="1">
        <f t="array" ref="M980">_xlfn.IFS(L980&lt;=14,"Short",L980&lt;=30,"Medium",L980&lt;=45,"Long",L980&lt;=60,"Very Long")</f>
        <v>Long</v>
      </c>
      <c r="N980" s="2" t="s">
        <v>93</v>
      </c>
      <c r="O980" s="3">
        <v>7.3</v>
      </c>
    </row>
    <row r="981" spans="1:15" x14ac:dyDescent="0.25">
      <c r="A981" s="4" t="s">
        <v>1040</v>
      </c>
      <c r="B981" s="5">
        <v>68</v>
      </c>
      <c r="C981" t="str" cm="1">
        <f t="array" ref="C981">_xlfn.IFS(B981&lt;=30,"Young",B981&lt;=50,"Middle-aged",B981&gt;50,"Older")</f>
        <v>Older</v>
      </c>
      <c r="D981" s="5" t="s">
        <v>10</v>
      </c>
      <c r="E981" s="5" t="s">
        <v>33</v>
      </c>
      <c r="F981" s="5">
        <f t="shared" si="63"/>
        <v>0</v>
      </c>
      <c r="G981" s="5">
        <f t="shared" si="60"/>
        <v>0</v>
      </c>
      <c r="H981" s="5">
        <f t="shared" si="61"/>
        <v>0</v>
      </c>
      <c r="I981" s="5">
        <f t="shared" si="62"/>
        <v>1</v>
      </c>
      <c r="J981" s="5">
        <v>100</v>
      </c>
      <c r="K981" s="5" t="s">
        <v>47</v>
      </c>
      <c r="L981" s="5">
        <v>49</v>
      </c>
      <c r="M981" t="str" cm="1">
        <f t="array" ref="M981">_xlfn.IFS(L981&lt;=14,"Short",L981&lt;=30,"Medium",L981&lt;=45,"Long",L981&lt;=60,"Very Long")</f>
        <v>Very Long</v>
      </c>
      <c r="N981" s="5" t="s">
        <v>345</v>
      </c>
      <c r="O981" s="6">
        <v>5.4</v>
      </c>
    </row>
    <row r="982" spans="1:15" x14ac:dyDescent="0.25">
      <c r="A982" s="1" t="s">
        <v>1041</v>
      </c>
      <c r="B982" s="2">
        <v>22</v>
      </c>
      <c r="C982" t="str" cm="1">
        <f t="array" ref="C982">_xlfn.IFS(B982&lt;=30,"Young",B982&lt;=50,"Middle-aged",B982&gt;50,"Older")</f>
        <v>Young</v>
      </c>
      <c r="D982" s="2" t="s">
        <v>19</v>
      </c>
      <c r="E982" s="2" t="s">
        <v>20</v>
      </c>
      <c r="F982" s="2">
        <f t="shared" si="63"/>
        <v>0</v>
      </c>
      <c r="G982" s="2">
        <f t="shared" si="60"/>
        <v>1</v>
      </c>
      <c r="H982" s="2">
        <f t="shared" si="61"/>
        <v>0</v>
      </c>
      <c r="I982" s="2">
        <f t="shared" si="62"/>
        <v>0</v>
      </c>
      <c r="J982" s="2">
        <v>50</v>
      </c>
      <c r="K982" s="2" t="s">
        <v>55</v>
      </c>
      <c r="L982" s="2">
        <v>59</v>
      </c>
      <c r="M982" t="str" cm="1">
        <f t="array" ref="M982">_xlfn.IFS(L982&lt;=14,"Short",L982&lt;=30,"Medium",L982&lt;=45,"Long",L982&lt;=60,"Very Long")</f>
        <v>Very Long</v>
      </c>
      <c r="N982" s="2" t="s">
        <v>78</v>
      </c>
      <c r="O982" s="3">
        <v>6.1</v>
      </c>
    </row>
    <row r="983" spans="1:15" x14ac:dyDescent="0.25">
      <c r="A983" s="4" t="s">
        <v>1042</v>
      </c>
      <c r="B983" s="5">
        <v>64</v>
      </c>
      <c r="C983" t="str" cm="1">
        <f t="array" ref="C983">_xlfn.IFS(B983&lt;=30,"Young",B983&lt;=50,"Middle-aged",B983&gt;50,"Older")</f>
        <v>Older</v>
      </c>
      <c r="D983" s="5" t="s">
        <v>10</v>
      </c>
      <c r="E983" s="5" t="s">
        <v>24</v>
      </c>
      <c r="F983" s="5">
        <f t="shared" si="63"/>
        <v>0</v>
      </c>
      <c r="G983" s="5">
        <f t="shared" si="60"/>
        <v>0</v>
      </c>
      <c r="H983" s="5">
        <f t="shared" si="61"/>
        <v>1</v>
      </c>
      <c r="I983" s="5">
        <f t="shared" si="62"/>
        <v>0</v>
      </c>
      <c r="J983" s="5">
        <v>100</v>
      </c>
      <c r="K983" s="5" t="s">
        <v>59</v>
      </c>
      <c r="L983" s="5">
        <v>13</v>
      </c>
      <c r="M983" t="str" cm="1">
        <f t="array" ref="M983">_xlfn.IFS(L983&lt;=14,"Short",L983&lt;=30,"Medium",L983&lt;=45,"Long",L983&lt;=60,"Very Long")</f>
        <v>Short</v>
      </c>
      <c r="N983" s="5" t="s">
        <v>74</v>
      </c>
      <c r="O983" s="6">
        <v>5.7</v>
      </c>
    </row>
    <row r="984" spans="1:15" x14ac:dyDescent="0.25">
      <c r="A984" s="1" t="s">
        <v>1043</v>
      </c>
      <c r="B984" s="2">
        <v>42</v>
      </c>
      <c r="C984" t="str" cm="1">
        <f t="array" ref="C984">_xlfn.IFS(B984&lt;=30,"Young",B984&lt;=50,"Middle-aged",B984&gt;50,"Older")</f>
        <v>Middle-aged</v>
      </c>
      <c r="D984" s="2" t="s">
        <v>10</v>
      </c>
      <c r="E984" s="2" t="s">
        <v>20</v>
      </c>
      <c r="F984" s="2">
        <f t="shared" si="63"/>
        <v>0</v>
      </c>
      <c r="G984" s="2">
        <f t="shared" si="60"/>
        <v>1</v>
      </c>
      <c r="H984" s="2">
        <f t="shared" si="61"/>
        <v>0</v>
      </c>
      <c r="I984" s="2">
        <f t="shared" si="62"/>
        <v>0</v>
      </c>
      <c r="J984" s="2">
        <v>850</v>
      </c>
      <c r="K984" s="2" t="s">
        <v>37</v>
      </c>
      <c r="L984" s="2">
        <v>57</v>
      </c>
      <c r="M984" t="str" cm="1">
        <f t="array" ref="M984">_xlfn.IFS(L984&lt;=14,"Short",L984&lt;=30,"Medium",L984&lt;=45,"Long",L984&lt;=60,"Very Long")</f>
        <v>Very Long</v>
      </c>
      <c r="N984" s="2" t="s">
        <v>173</v>
      </c>
      <c r="O984" s="3">
        <v>6.1</v>
      </c>
    </row>
    <row r="985" spans="1:15" x14ac:dyDescent="0.25">
      <c r="A985" s="4" t="s">
        <v>1044</v>
      </c>
      <c r="B985" s="5">
        <v>19</v>
      </c>
      <c r="C985" t="str" cm="1">
        <f t="array" ref="C985">_xlfn.IFS(B985&lt;=30,"Young",B985&lt;=50,"Middle-aged",B985&gt;50,"Older")</f>
        <v>Young</v>
      </c>
      <c r="D985" s="5" t="s">
        <v>19</v>
      </c>
      <c r="E985" s="5" t="s">
        <v>15</v>
      </c>
      <c r="F985" s="5">
        <f t="shared" si="63"/>
        <v>1</v>
      </c>
      <c r="G985" s="5">
        <f t="shared" si="60"/>
        <v>0</v>
      </c>
      <c r="H985" s="5">
        <f t="shared" si="61"/>
        <v>0</v>
      </c>
      <c r="I985" s="5">
        <f t="shared" si="62"/>
        <v>0</v>
      </c>
      <c r="J985" s="5">
        <v>100</v>
      </c>
      <c r="K985" s="5" t="s">
        <v>16</v>
      </c>
      <c r="L985" s="5">
        <v>42</v>
      </c>
      <c r="M985" t="str" cm="1">
        <f t="array" ref="M985">_xlfn.IFS(L985&lt;=14,"Short",L985&lt;=30,"Medium",L985&lt;=45,"Long",L985&lt;=60,"Very Long")</f>
        <v>Long</v>
      </c>
      <c r="N985" s="5" t="s">
        <v>308</v>
      </c>
      <c r="O985" s="6">
        <v>6.2</v>
      </c>
    </row>
    <row r="986" spans="1:15" x14ac:dyDescent="0.25">
      <c r="A986" s="1" t="s">
        <v>1045</v>
      </c>
      <c r="B986" s="2">
        <v>27</v>
      </c>
      <c r="C986" t="str" cm="1">
        <f t="array" ref="C986">_xlfn.IFS(B986&lt;=30,"Young",B986&lt;=50,"Middle-aged",B986&gt;50,"Older")</f>
        <v>Young</v>
      </c>
      <c r="D986" s="2" t="s">
        <v>10</v>
      </c>
      <c r="E986" s="2" t="s">
        <v>15</v>
      </c>
      <c r="F986" s="2">
        <f t="shared" si="63"/>
        <v>1</v>
      </c>
      <c r="G986" s="2">
        <f t="shared" si="60"/>
        <v>0</v>
      </c>
      <c r="H986" s="2">
        <f t="shared" si="61"/>
        <v>0</v>
      </c>
      <c r="I986" s="2">
        <f t="shared" si="62"/>
        <v>0</v>
      </c>
      <c r="J986" s="2">
        <v>50</v>
      </c>
      <c r="K986" s="2" t="s">
        <v>63</v>
      </c>
      <c r="L986" s="2">
        <v>34</v>
      </c>
      <c r="M986" t="str" cm="1">
        <f t="array" ref="M986">_xlfn.IFS(L986&lt;=14,"Short",L986&lt;=30,"Medium",L986&lt;=45,"Long",L986&lt;=60,"Very Long")</f>
        <v>Long</v>
      </c>
      <c r="N986" s="2" t="s">
        <v>64</v>
      </c>
      <c r="O986" s="3">
        <v>6.2</v>
      </c>
    </row>
    <row r="987" spans="1:15" x14ac:dyDescent="0.25">
      <c r="A987" s="4" t="s">
        <v>1046</v>
      </c>
      <c r="B987" s="5">
        <v>73</v>
      </c>
      <c r="C987" t="str" cm="1">
        <f t="array" ref="C987">_xlfn.IFS(B987&lt;=30,"Young",B987&lt;=50,"Middle-aged",B987&gt;50,"Older")</f>
        <v>Older</v>
      </c>
      <c r="D987" s="5" t="s">
        <v>10</v>
      </c>
      <c r="E987" s="5" t="s">
        <v>33</v>
      </c>
      <c r="F987" s="5">
        <f t="shared" si="63"/>
        <v>0</v>
      </c>
      <c r="G987" s="5">
        <f t="shared" si="60"/>
        <v>0</v>
      </c>
      <c r="H987" s="5">
        <f t="shared" si="61"/>
        <v>0</v>
      </c>
      <c r="I987" s="5">
        <f t="shared" si="62"/>
        <v>1</v>
      </c>
      <c r="J987" s="5">
        <v>500</v>
      </c>
      <c r="K987" s="5" t="s">
        <v>34</v>
      </c>
      <c r="L987" s="5">
        <v>48</v>
      </c>
      <c r="M987" t="str" cm="1">
        <f t="array" ref="M987">_xlfn.IFS(L987&lt;=14,"Short",L987&lt;=30,"Medium",L987&lt;=45,"Long",L987&lt;=60,"Very Long")</f>
        <v>Very Long</v>
      </c>
      <c r="N987" s="5" t="s">
        <v>95</v>
      </c>
      <c r="O987" s="6">
        <v>8.3000000000000007</v>
      </c>
    </row>
    <row r="988" spans="1:15" x14ac:dyDescent="0.25">
      <c r="A988" s="1" t="s">
        <v>1047</v>
      </c>
      <c r="B988" s="2">
        <v>47</v>
      </c>
      <c r="C988" t="str" cm="1">
        <f t="array" ref="C988">_xlfn.IFS(B988&lt;=30,"Young",B988&lt;=50,"Middle-aged",B988&gt;50,"Older")</f>
        <v>Middle-aged</v>
      </c>
      <c r="D988" s="2" t="s">
        <v>19</v>
      </c>
      <c r="E988" s="2" t="s">
        <v>11</v>
      </c>
      <c r="F988" s="2">
        <f t="shared" si="63"/>
        <v>0</v>
      </c>
      <c r="G988" s="2">
        <f t="shared" si="60"/>
        <v>0</v>
      </c>
      <c r="H988" s="2">
        <f t="shared" si="61"/>
        <v>0</v>
      </c>
      <c r="I988" s="2">
        <f t="shared" si="62"/>
        <v>0</v>
      </c>
      <c r="J988" s="2">
        <v>850</v>
      </c>
      <c r="K988" s="2" t="s">
        <v>84</v>
      </c>
      <c r="L988" s="2">
        <v>38</v>
      </c>
      <c r="M988" t="str" cm="1">
        <f t="array" ref="M988">_xlfn.IFS(L988&lt;=14,"Short",L988&lt;=30,"Medium",L988&lt;=45,"Long",L988&lt;=60,"Very Long")</f>
        <v>Long</v>
      </c>
      <c r="N988" s="2" t="s">
        <v>93</v>
      </c>
      <c r="O988" s="3">
        <v>5.3</v>
      </c>
    </row>
    <row r="989" spans="1:15" x14ac:dyDescent="0.25">
      <c r="A989" s="4" t="s">
        <v>1048</v>
      </c>
      <c r="B989" s="5">
        <v>67</v>
      </c>
      <c r="C989" t="str" cm="1">
        <f t="array" ref="C989">_xlfn.IFS(B989&lt;=30,"Young",B989&lt;=50,"Middle-aged",B989&gt;50,"Older")</f>
        <v>Older</v>
      </c>
      <c r="D989" s="5" t="s">
        <v>10</v>
      </c>
      <c r="E989" s="5" t="s">
        <v>20</v>
      </c>
      <c r="F989" s="5">
        <f t="shared" si="63"/>
        <v>0</v>
      </c>
      <c r="G989" s="5">
        <f t="shared" si="60"/>
        <v>1</v>
      </c>
      <c r="H989" s="5">
        <f t="shared" si="61"/>
        <v>0</v>
      </c>
      <c r="I989" s="5">
        <f t="shared" si="62"/>
        <v>0</v>
      </c>
      <c r="J989" s="5">
        <v>100</v>
      </c>
      <c r="K989" s="5" t="s">
        <v>55</v>
      </c>
      <c r="L989" s="5">
        <v>36</v>
      </c>
      <c r="M989" t="str" cm="1">
        <f t="array" ref="M989">_xlfn.IFS(L989&lt;=14,"Short",L989&lt;=30,"Medium",L989&lt;=45,"Long",L989&lt;=60,"Very Long")</f>
        <v>Long</v>
      </c>
      <c r="N989" s="5" t="s">
        <v>78</v>
      </c>
      <c r="O989" s="6">
        <v>7.3</v>
      </c>
    </row>
    <row r="990" spans="1:15" x14ac:dyDescent="0.25">
      <c r="A990" s="1" t="s">
        <v>1049</v>
      </c>
      <c r="B990" s="2">
        <v>76</v>
      </c>
      <c r="C990" t="str" cm="1">
        <f t="array" ref="C990">_xlfn.IFS(B990&lt;=30,"Young",B990&lt;=50,"Middle-aged",B990&gt;50,"Older")</f>
        <v>Older</v>
      </c>
      <c r="D990" s="2" t="s">
        <v>19</v>
      </c>
      <c r="E990" s="2" t="s">
        <v>11</v>
      </c>
      <c r="F990" s="2">
        <f t="shared" si="63"/>
        <v>0</v>
      </c>
      <c r="G990" s="2">
        <f t="shared" si="60"/>
        <v>0</v>
      </c>
      <c r="H990" s="2">
        <f t="shared" si="61"/>
        <v>0</v>
      </c>
      <c r="I990" s="2">
        <f t="shared" si="62"/>
        <v>0</v>
      </c>
      <c r="J990" s="2">
        <v>500</v>
      </c>
      <c r="K990" s="2" t="s">
        <v>12</v>
      </c>
      <c r="L990" s="2">
        <v>7</v>
      </c>
      <c r="M990" t="str" cm="1">
        <f t="array" ref="M990">_xlfn.IFS(L990&lt;=14,"Short",L990&lt;=30,"Medium",L990&lt;=45,"Long",L990&lt;=60,"Very Long")</f>
        <v>Short</v>
      </c>
      <c r="N990" s="2" t="s">
        <v>30</v>
      </c>
      <c r="O990" s="3">
        <v>8.8000000000000007</v>
      </c>
    </row>
    <row r="991" spans="1:15" x14ac:dyDescent="0.25">
      <c r="A991" s="4" t="s">
        <v>1050</v>
      </c>
      <c r="B991" s="5">
        <v>62</v>
      </c>
      <c r="C991" t="str" cm="1">
        <f t="array" ref="C991">_xlfn.IFS(B991&lt;=30,"Young",B991&lt;=50,"Middle-aged",B991&gt;50,"Older")</f>
        <v>Older</v>
      </c>
      <c r="D991" s="5" t="s">
        <v>19</v>
      </c>
      <c r="E991" s="5" t="s">
        <v>33</v>
      </c>
      <c r="F991" s="5">
        <f t="shared" si="63"/>
        <v>0</v>
      </c>
      <c r="G991" s="5">
        <f t="shared" si="60"/>
        <v>0</v>
      </c>
      <c r="H991" s="5">
        <f t="shared" si="61"/>
        <v>0</v>
      </c>
      <c r="I991" s="5">
        <f t="shared" si="62"/>
        <v>1</v>
      </c>
      <c r="J991" s="5">
        <v>500</v>
      </c>
      <c r="K991" s="5" t="s">
        <v>49</v>
      </c>
      <c r="L991" s="5">
        <v>7</v>
      </c>
      <c r="M991" t="str" cm="1">
        <f t="array" ref="M991">_xlfn.IFS(L991&lt;=14,"Short",L991&lt;=30,"Medium",L991&lt;=45,"Long",L991&lt;=60,"Very Long")</f>
        <v>Short</v>
      </c>
      <c r="N991" s="5" t="s">
        <v>91</v>
      </c>
      <c r="O991" s="6">
        <v>6.2</v>
      </c>
    </row>
    <row r="992" spans="1:15" x14ac:dyDescent="0.25">
      <c r="A992" s="1" t="s">
        <v>1051</v>
      </c>
      <c r="B992" s="2">
        <v>22</v>
      </c>
      <c r="C992" t="str" cm="1">
        <f t="array" ref="C992">_xlfn.IFS(B992&lt;=30,"Young",B992&lt;=50,"Middle-aged",B992&gt;50,"Older")</f>
        <v>Young</v>
      </c>
      <c r="D992" s="2" t="s">
        <v>19</v>
      </c>
      <c r="E992" s="2" t="s">
        <v>15</v>
      </c>
      <c r="F992" s="2">
        <f t="shared" si="63"/>
        <v>1</v>
      </c>
      <c r="G992" s="2">
        <f t="shared" si="60"/>
        <v>0</v>
      </c>
      <c r="H992" s="2">
        <f t="shared" si="61"/>
        <v>0</v>
      </c>
      <c r="I992" s="2">
        <f t="shared" si="62"/>
        <v>0</v>
      </c>
      <c r="J992" s="2">
        <v>850</v>
      </c>
      <c r="K992" s="2" t="s">
        <v>44</v>
      </c>
      <c r="L992" s="2">
        <v>32</v>
      </c>
      <c r="M992" t="str" cm="1">
        <f t="array" ref="M992">_xlfn.IFS(L992&lt;=14,"Short",L992&lt;=30,"Medium",L992&lt;=45,"Long",L992&lt;=60,"Very Long")</f>
        <v>Long</v>
      </c>
      <c r="N992" s="2" t="s">
        <v>95</v>
      </c>
      <c r="O992" s="3">
        <v>5.9</v>
      </c>
    </row>
    <row r="993" spans="1:15" x14ac:dyDescent="0.25">
      <c r="A993" s="4" t="s">
        <v>1052</v>
      </c>
      <c r="B993" s="5">
        <v>72</v>
      </c>
      <c r="C993" t="str" cm="1">
        <f t="array" ref="C993">_xlfn.IFS(B993&lt;=30,"Young",B993&lt;=50,"Middle-aged",B993&gt;50,"Older")</f>
        <v>Older</v>
      </c>
      <c r="D993" s="5" t="s">
        <v>10</v>
      </c>
      <c r="E993" s="5" t="s">
        <v>11</v>
      </c>
      <c r="F993" s="5">
        <f t="shared" si="63"/>
        <v>0</v>
      </c>
      <c r="G993" s="5">
        <f t="shared" si="60"/>
        <v>0</v>
      </c>
      <c r="H993" s="5">
        <f t="shared" si="61"/>
        <v>0</v>
      </c>
      <c r="I993" s="5">
        <f t="shared" si="62"/>
        <v>0</v>
      </c>
      <c r="J993" s="5">
        <v>250</v>
      </c>
      <c r="K993" s="5" t="s">
        <v>84</v>
      </c>
      <c r="L993" s="5">
        <v>48</v>
      </c>
      <c r="M993" t="str" cm="1">
        <f t="array" ref="M993">_xlfn.IFS(L993&lt;=14,"Short",L993&lt;=30,"Medium",L993&lt;=45,"Long",L993&lt;=60,"Very Long")</f>
        <v>Very Long</v>
      </c>
      <c r="N993" s="5" t="s">
        <v>97</v>
      </c>
      <c r="O993" s="6">
        <v>6.7</v>
      </c>
    </row>
    <row r="994" spans="1:15" x14ac:dyDescent="0.25">
      <c r="A994" s="1" t="s">
        <v>1053</v>
      </c>
      <c r="B994" s="2">
        <v>73</v>
      </c>
      <c r="C994" t="str" cm="1">
        <f t="array" ref="C994">_xlfn.IFS(B994&lt;=30,"Young",B994&lt;=50,"Middle-aged",B994&gt;50,"Older")</f>
        <v>Older</v>
      </c>
      <c r="D994" s="2" t="s">
        <v>10</v>
      </c>
      <c r="E994" s="2" t="s">
        <v>11</v>
      </c>
      <c r="F994" s="2">
        <f t="shared" si="63"/>
        <v>0</v>
      </c>
      <c r="G994" s="2">
        <f t="shared" si="60"/>
        <v>0</v>
      </c>
      <c r="H994" s="2">
        <f t="shared" si="61"/>
        <v>0</v>
      </c>
      <c r="I994" s="2">
        <f t="shared" si="62"/>
        <v>0</v>
      </c>
      <c r="J994" s="2">
        <v>250</v>
      </c>
      <c r="K994" s="2" t="s">
        <v>12</v>
      </c>
      <c r="L994" s="2">
        <v>19</v>
      </c>
      <c r="M994" t="str" cm="1">
        <f t="array" ref="M994">_xlfn.IFS(L994&lt;=14,"Short",L994&lt;=30,"Medium",L994&lt;=45,"Long",L994&lt;=60,"Very Long")</f>
        <v>Medium</v>
      </c>
      <c r="N994" s="2" t="s">
        <v>13</v>
      </c>
      <c r="O994" s="3">
        <v>8.8000000000000007</v>
      </c>
    </row>
    <row r="995" spans="1:15" x14ac:dyDescent="0.25">
      <c r="A995" s="4" t="s">
        <v>1054</v>
      </c>
      <c r="B995" s="5">
        <v>50</v>
      </c>
      <c r="C995" t="str" cm="1">
        <f t="array" ref="C995">_xlfn.IFS(B995&lt;=30,"Young",B995&lt;=50,"Middle-aged",B995&gt;50,"Older")</f>
        <v>Middle-aged</v>
      </c>
      <c r="D995" s="5" t="s">
        <v>10</v>
      </c>
      <c r="E995" s="5" t="s">
        <v>15</v>
      </c>
      <c r="F995" s="5">
        <f t="shared" si="63"/>
        <v>1</v>
      </c>
      <c r="G995" s="5">
        <f t="shared" si="60"/>
        <v>0</v>
      </c>
      <c r="H995" s="5">
        <f t="shared" si="61"/>
        <v>0</v>
      </c>
      <c r="I995" s="5">
        <f t="shared" si="62"/>
        <v>0</v>
      </c>
      <c r="J995" s="5">
        <v>250</v>
      </c>
      <c r="K995" s="5" t="s">
        <v>63</v>
      </c>
      <c r="L995" s="5">
        <v>45</v>
      </c>
      <c r="M995" t="str" cm="1">
        <f t="array" ref="M995">_xlfn.IFS(L995&lt;=14,"Short",L995&lt;=30,"Medium",L995&lt;=45,"Long",L995&lt;=60,"Very Long")</f>
        <v>Long</v>
      </c>
      <c r="N995" s="5" t="s">
        <v>41</v>
      </c>
      <c r="O995" s="6">
        <v>7.3</v>
      </c>
    </row>
    <row r="996" spans="1:15" x14ac:dyDescent="0.25">
      <c r="A996" s="1" t="s">
        <v>1055</v>
      </c>
      <c r="B996" s="2">
        <v>71</v>
      </c>
      <c r="C996" t="str" cm="1">
        <f t="array" ref="C996">_xlfn.IFS(B996&lt;=30,"Young",B996&lt;=50,"Middle-aged",B996&gt;50,"Older")</f>
        <v>Older</v>
      </c>
      <c r="D996" s="2" t="s">
        <v>19</v>
      </c>
      <c r="E996" s="2" t="s">
        <v>20</v>
      </c>
      <c r="F996" s="2">
        <f t="shared" si="63"/>
        <v>0</v>
      </c>
      <c r="G996" s="2">
        <f t="shared" si="60"/>
        <v>1</v>
      </c>
      <c r="H996" s="2">
        <f t="shared" si="61"/>
        <v>0</v>
      </c>
      <c r="I996" s="2">
        <f t="shared" si="62"/>
        <v>0</v>
      </c>
      <c r="J996" s="2">
        <v>500</v>
      </c>
      <c r="K996" s="2" t="s">
        <v>55</v>
      </c>
      <c r="L996" s="2">
        <v>27</v>
      </c>
      <c r="M996" t="str" cm="1">
        <f t="array" ref="M996">_xlfn.IFS(L996&lt;=14,"Short",L996&lt;=30,"Medium",L996&lt;=45,"Long",L996&lt;=60,"Very Long")</f>
        <v>Medium</v>
      </c>
      <c r="N996" s="2" t="s">
        <v>148</v>
      </c>
      <c r="O996" s="3">
        <v>6.2</v>
      </c>
    </row>
    <row r="997" spans="1:15" x14ac:dyDescent="0.25">
      <c r="A997" s="4" t="s">
        <v>1056</v>
      </c>
      <c r="B997" s="5">
        <v>18</v>
      </c>
      <c r="C997" t="str" cm="1">
        <f t="array" ref="C997">_xlfn.IFS(B997&lt;=30,"Young",B997&lt;=50,"Middle-aged",B997&gt;50,"Older")</f>
        <v>Young</v>
      </c>
      <c r="D997" s="5" t="s">
        <v>10</v>
      </c>
      <c r="E997" s="5" t="s">
        <v>15</v>
      </c>
      <c r="F997" s="5">
        <f t="shared" si="63"/>
        <v>1</v>
      </c>
      <c r="G997" s="5">
        <f t="shared" si="60"/>
        <v>0</v>
      </c>
      <c r="H997" s="5">
        <f t="shared" si="61"/>
        <v>0</v>
      </c>
      <c r="I997" s="5">
        <f t="shared" si="62"/>
        <v>0</v>
      </c>
      <c r="J997" s="5">
        <v>100</v>
      </c>
      <c r="K997" s="5" t="s">
        <v>63</v>
      </c>
      <c r="L997" s="5">
        <v>44</v>
      </c>
      <c r="M997" t="str" cm="1">
        <f t="array" ref="M997">_xlfn.IFS(L997&lt;=14,"Short",L997&lt;=30,"Medium",L997&lt;=45,"Long",L997&lt;=60,"Very Long")</f>
        <v>Long</v>
      </c>
      <c r="N997" s="5" t="s">
        <v>41</v>
      </c>
      <c r="O997" s="6">
        <v>7.7</v>
      </c>
    </row>
    <row r="998" spans="1:15" x14ac:dyDescent="0.25">
      <c r="A998" s="1" t="s">
        <v>1057</v>
      </c>
      <c r="B998" s="2">
        <v>35</v>
      </c>
      <c r="C998" t="str" cm="1">
        <f t="array" ref="C998">_xlfn.IFS(B998&lt;=30,"Young",B998&lt;=50,"Middle-aged",B998&gt;50,"Older")</f>
        <v>Middle-aged</v>
      </c>
      <c r="D998" s="2" t="s">
        <v>19</v>
      </c>
      <c r="E998" s="2" t="s">
        <v>11</v>
      </c>
      <c r="F998" s="2">
        <f t="shared" si="63"/>
        <v>0</v>
      </c>
      <c r="G998" s="2">
        <f t="shared" si="60"/>
        <v>0</v>
      </c>
      <c r="H998" s="2">
        <f t="shared" si="61"/>
        <v>0</v>
      </c>
      <c r="I998" s="2">
        <f t="shared" si="62"/>
        <v>0</v>
      </c>
      <c r="J998" s="2">
        <v>50</v>
      </c>
      <c r="K998" s="2" t="s">
        <v>51</v>
      </c>
      <c r="L998" s="2">
        <v>15</v>
      </c>
      <c r="M998" t="str" cm="1">
        <f t="array" ref="M998">_xlfn.IFS(L998&lt;=14,"Short",L998&lt;=30,"Medium",L998&lt;=45,"Long",L998&lt;=60,"Very Long")</f>
        <v>Medium</v>
      </c>
      <c r="N998" s="2" t="s">
        <v>13</v>
      </c>
      <c r="O998" s="3">
        <v>5.3</v>
      </c>
    </row>
    <row r="999" spans="1:15" x14ac:dyDescent="0.25">
      <c r="A999" s="4" t="s">
        <v>1058</v>
      </c>
      <c r="B999" s="5">
        <v>49</v>
      </c>
      <c r="C999" t="str" cm="1">
        <f t="array" ref="C999">_xlfn.IFS(B999&lt;=30,"Young",B999&lt;=50,"Middle-aged",B999&gt;50,"Older")</f>
        <v>Middle-aged</v>
      </c>
      <c r="D999" s="5" t="s">
        <v>19</v>
      </c>
      <c r="E999" s="5" t="s">
        <v>20</v>
      </c>
      <c r="F999" s="5">
        <f t="shared" si="63"/>
        <v>0</v>
      </c>
      <c r="G999" s="5">
        <f t="shared" si="60"/>
        <v>1</v>
      </c>
      <c r="H999" s="5">
        <f t="shared" si="61"/>
        <v>0</v>
      </c>
      <c r="I999" s="5">
        <f t="shared" si="62"/>
        <v>0</v>
      </c>
      <c r="J999" s="5">
        <v>850</v>
      </c>
      <c r="K999" s="5" t="s">
        <v>55</v>
      </c>
      <c r="L999" s="5">
        <v>52</v>
      </c>
      <c r="M999" t="str" cm="1">
        <f t="array" ref="M999">_xlfn.IFS(L999&lt;=14,"Short",L999&lt;=30,"Medium",L999&lt;=45,"Long",L999&lt;=60,"Very Long")</f>
        <v>Very Long</v>
      </c>
      <c r="N999" s="5" t="s">
        <v>22</v>
      </c>
      <c r="O999" s="6">
        <v>8</v>
      </c>
    </row>
    <row r="1000" spans="1:15" x14ac:dyDescent="0.25">
      <c r="A1000" s="1" t="s">
        <v>1059</v>
      </c>
      <c r="B1000" s="2">
        <v>64</v>
      </c>
      <c r="C1000" t="str" cm="1">
        <f t="array" ref="C1000">_xlfn.IFS(B1000&lt;=30,"Young",B1000&lt;=50,"Middle-aged",B1000&gt;50,"Older")</f>
        <v>Older</v>
      </c>
      <c r="D1000" s="2" t="s">
        <v>10</v>
      </c>
      <c r="E1000" s="2" t="s">
        <v>20</v>
      </c>
      <c r="F1000" s="2">
        <f t="shared" si="63"/>
        <v>0</v>
      </c>
      <c r="G1000" s="2">
        <f t="shared" si="60"/>
        <v>1</v>
      </c>
      <c r="H1000" s="2">
        <f t="shared" si="61"/>
        <v>0</v>
      </c>
      <c r="I1000" s="2">
        <f t="shared" si="62"/>
        <v>0</v>
      </c>
      <c r="J1000" s="2">
        <v>850</v>
      </c>
      <c r="K1000" s="2" t="s">
        <v>37</v>
      </c>
      <c r="L1000" s="2">
        <v>36</v>
      </c>
      <c r="M1000" t="str" cm="1">
        <f t="array" ref="M1000">_xlfn.IFS(L1000&lt;=14,"Short",L1000&lt;=30,"Medium",L1000&lt;=45,"Long",L1000&lt;=60,"Very Long")</f>
        <v>Long</v>
      </c>
      <c r="N1000" s="2" t="s">
        <v>13</v>
      </c>
      <c r="O1000" s="3">
        <v>7.6</v>
      </c>
    </row>
    <row r="1001" spans="1:15" x14ac:dyDescent="0.25">
      <c r="A1001" s="4" t="s">
        <v>1060</v>
      </c>
      <c r="B1001" s="5">
        <v>66</v>
      </c>
      <c r="C1001" t="str" cm="1">
        <f t="array" ref="C1001">_xlfn.IFS(B1001&lt;=30,"Young",B1001&lt;=50,"Middle-aged",B1001&gt;50,"Older")</f>
        <v>Older</v>
      </c>
      <c r="D1001" s="5" t="s">
        <v>19</v>
      </c>
      <c r="E1001" s="5" t="s">
        <v>15</v>
      </c>
      <c r="F1001" s="5">
        <f t="shared" si="63"/>
        <v>1</v>
      </c>
      <c r="G1001" s="5">
        <f t="shared" si="60"/>
        <v>0</v>
      </c>
      <c r="H1001" s="5">
        <f t="shared" si="61"/>
        <v>0</v>
      </c>
      <c r="I1001" s="5">
        <f t="shared" si="62"/>
        <v>0</v>
      </c>
      <c r="J1001" s="5">
        <v>500</v>
      </c>
      <c r="K1001" s="5" t="s">
        <v>16</v>
      </c>
      <c r="L1001" s="5">
        <v>58</v>
      </c>
      <c r="M1001" t="str" cm="1">
        <f t="array" ref="M1001">_xlfn.IFS(L1001&lt;=14,"Short",L1001&lt;=30,"Medium",L1001&lt;=45,"Long",L1001&lt;=60,"Very Long")</f>
        <v>Very Long</v>
      </c>
      <c r="N1001" s="5" t="s">
        <v>17</v>
      </c>
      <c r="O1001" s="6">
        <v>6.5</v>
      </c>
    </row>
  </sheetData>
  <autoFilter ref="A1:O1001" xr:uid="{CC39EBA4-260C-42B5-97D4-5C309A2F6C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ABIODUN OLAOLUWA</dc:creator>
  <cp:lastModifiedBy>ABRAHAM ABIODUN OLAOLUWA</cp:lastModifiedBy>
  <dcterms:created xsi:type="dcterms:W3CDTF">2026-01-09T11:33:56Z</dcterms:created>
  <dcterms:modified xsi:type="dcterms:W3CDTF">2026-01-09T11:39:33Z</dcterms:modified>
</cp:coreProperties>
</file>